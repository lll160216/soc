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chung" sheetId="1" r:id="rId4"/>
    <sheet state="visible" name="Phạm vi giám sát" sheetId="2" r:id="rId5"/>
    <sheet state="visible" name="Báo cáo giám sát " sheetId="3" r:id="rId6"/>
    <sheet state="visible" name="Sự kiện tiêu biểu" sheetId="4" r:id="rId7"/>
    <sheet state="visible" name="Sự kiện tiêu biểu  F5" sheetId="5" r:id="rId8"/>
    <sheet state="visible" name="Sự kiên tiêu biểu Palo Alto" sheetId="6" r:id="rId9"/>
    <sheet state="visible" name="Tổng hợp các vấn đề cần xử lý" sheetId="7" r:id="rId10"/>
  </sheets>
  <definedNames/>
  <calcPr/>
</workbook>
</file>

<file path=xl/sharedStrings.xml><?xml version="1.0" encoding="utf-8"?>
<sst xmlns="http://schemas.openxmlformats.org/spreadsheetml/2006/main" count="315" uniqueCount="257">
  <si>
    <t>CÔNG TY CỔ PHẦN MISA</t>
  </si>
  <si>
    <t>BÁO CÁO KẾT QUẢ  GIÁM SÁT HỆ THỐNG SOC TUẦN 51</t>
  </si>
  <si>
    <t>1, MÃ TÀI LIỆU</t>
  </si>
  <si>
    <t>VERSION</t>
  </si>
  <si>
    <t>MISA_SOC_REPORT</t>
  </si>
  <si>
    <t>BETA 1.0</t>
  </si>
  <si>
    <t>2, QUY TRÌNH LIÊN QUAN</t>
  </si>
  <si>
    <t>-  Quy trình giám hệ thống</t>
  </si>
  <si>
    <t>- Quy trình ứng phó sự cố</t>
  </si>
  <si>
    <t>...</t>
  </si>
  <si>
    <t>3, NGƯỜI THỰC HIỆN</t>
  </si>
  <si>
    <t>Họ và tên</t>
  </si>
  <si>
    <t>Mã NV</t>
  </si>
  <si>
    <t>Vị trí</t>
  </si>
  <si>
    <t>Vai trò</t>
  </si>
  <si>
    <t>Phạm Thành Trung</t>
  </si>
  <si>
    <t>B-0501</t>
  </si>
  <si>
    <t>Nhân viên an ninh thông tin</t>
  </si>
  <si>
    <t>Phòng thủ , Điều tra</t>
  </si>
  <si>
    <t>Nguyễn Thành Long</t>
  </si>
  <si>
    <t>B-1153</t>
  </si>
  <si>
    <t>Nhân viên An ninh thông tin</t>
  </si>
  <si>
    <t>4, THỜI GIAN GIÁM SÁT</t>
  </si>
  <si>
    <t>Tuần</t>
  </si>
  <si>
    <t>Từ ngày/ giờ</t>
  </si>
  <si>
    <t>Đến ngày/ giờ</t>
  </si>
  <si>
    <t>LƯU Ý</t>
  </si>
  <si>
    <t>8:00AM 15/12/2022</t>
  </si>
  <si>
    <t>8:00AM  22/12/2022</t>
  </si>
  <si>
    <t>5, QUY ĐỊNH CHUNG</t>
  </si>
  <si>
    <t>6. THÔNG TIN HỆ THỐNG GIÁM SÁT</t>
  </si>
  <si>
    <t>MÔI TRƯỜNG</t>
  </si>
  <si>
    <t>THÀNH PHẦN</t>
  </si>
  <si>
    <t xml:space="preserve">CÔNG CỤ </t>
  </si>
  <si>
    <t>THÔNG TIN</t>
  </si>
  <si>
    <t>MISA Production</t>
  </si>
  <si>
    <t>SIEM</t>
  </si>
  <si>
    <t>WAZUH 4.3.7</t>
  </si>
  <si>
    <t>1682 Agents</t>
  </si>
  <si>
    <t>NETWORK PROTECTION</t>
  </si>
  <si>
    <t>F5</t>
  </si>
  <si>
    <t>PALO ALTO</t>
  </si>
  <si>
    <t>FORTIGATE</t>
  </si>
  <si>
    <t>ENDPOINT DETECTION</t>
  </si>
  <si>
    <t>FALCO 0.33.0</t>
  </si>
  <si>
    <t>WAZUH AGENT 4.3.7</t>
  </si>
  <si>
    <t xml:space="preserve"> CIRT</t>
  </si>
  <si>
    <t>THEHIVE V5</t>
  </si>
  <si>
    <t xml:space="preserve"> DASHBOARD</t>
  </si>
  <si>
    <t>GRAFANA</t>
  </si>
  <si>
    <t>WORKFLOW</t>
  </si>
  <si>
    <t>N8N 0.199.0</t>
  </si>
  <si>
    <t>SCOPE</t>
  </si>
  <si>
    <t>CHỦ ĐỀ GIÁM SÁT</t>
  </si>
  <si>
    <t>THÀNH PHẦN GIÁM SÁT</t>
  </si>
  <si>
    <t>GIẢI PHÁP MISA</t>
  </si>
  <si>
    <t>NỘI DUNG GIÁM SÁT</t>
  </si>
  <si>
    <t>Thành phần giám sát</t>
  </si>
  <si>
    <t>ĐÃ CÓ</t>
  </si>
  <si>
    <t>Technology and Security solution</t>
  </si>
  <si>
    <t>Network Security</t>
  </si>
  <si>
    <t>Firewall UTM/NG/VPN</t>
  </si>
  <si>
    <t xml:space="preserve">Request </t>
  </si>
  <si>
    <t>CHƯA CÓ</t>
  </si>
  <si>
    <t>Fortigate</t>
  </si>
  <si>
    <t>Request</t>
  </si>
  <si>
    <t>Network IDS/IPS</t>
  </si>
  <si>
    <t>Palo Alto</t>
  </si>
  <si>
    <t>NAC</t>
  </si>
  <si>
    <t>Web proxy / Web Gateway</t>
  </si>
  <si>
    <t>NGINX</t>
  </si>
  <si>
    <t>Mail Security Gateway</t>
  </si>
  <si>
    <t>OS Security</t>
  </si>
  <si>
    <t>Endpoint Protection (AV,IDS,FW)</t>
  </si>
  <si>
    <t>WAZUH</t>
  </si>
  <si>
    <t>FIM, EXEC</t>
  </si>
  <si>
    <t>KAS</t>
  </si>
  <si>
    <t>Malware</t>
  </si>
  <si>
    <t>OS Hardenning</t>
  </si>
  <si>
    <t>Application Security</t>
  </si>
  <si>
    <t>WAF/IPS</t>
  </si>
  <si>
    <t>Databse security (Vunlscan,Monitor, Prevention)</t>
  </si>
  <si>
    <t xml:space="preserve"> </t>
  </si>
  <si>
    <t>Strong Authentication 2FA</t>
  </si>
  <si>
    <t>Data Security</t>
  </si>
  <si>
    <t>Data Classification</t>
  </si>
  <si>
    <t>Data encryption</t>
  </si>
  <si>
    <t>Data Masking</t>
  </si>
  <si>
    <t>Security Manager</t>
  </si>
  <si>
    <t>Log Analysis</t>
  </si>
  <si>
    <t>Vunl-Pentest Patch Management</t>
  </si>
  <si>
    <t>APT Prevention</t>
  </si>
  <si>
    <t>PAM</t>
  </si>
  <si>
    <t>Firewall Management</t>
  </si>
  <si>
    <t>Policy</t>
  </si>
  <si>
    <t>Security Policy</t>
  </si>
  <si>
    <t>Complaince</t>
  </si>
  <si>
    <t>PCI DSS V3.2</t>
  </si>
  <si>
    <t>ISO27001</t>
  </si>
  <si>
    <t>ISO27017</t>
  </si>
  <si>
    <t>CSA-STAR</t>
  </si>
  <si>
    <t>CMMi</t>
  </si>
  <si>
    <t>Kết quả tổng hợp: Tuần 51</t>
  </si>
  <si>
    <t>Tổng số các sự kiện trong tuần</t>
  </si>
  <si>
    <t>Nội dung</t>
  </si>
  <si>
    <t>Tuần 46</t>
  </si>
  <si>
    <t>Tuần 47</t>
  </si>
  <si>
    <t>Tuần 49</t>
  </si>
  <si>
    <t>Tuần 50</t>
  </si>
  <si>
    <t>Tuần 51</t>
  </si>
  <si>
    <t>Tổng số sự kiện</t>
  </si>
  <si>
    <t>Level: 12 - 15</t>
  </si>
  <si>
    <t>Level: 8 - 11</t>
  </si>
  <si>
    <t>Level: 3 - 7</t>
  </si>
  <si>
    <t>Sự kiện tiêu biểu</t>
  </si>
  <si>
    <t>Sự kiện MS SQL server logon failure xuất hiện với số lượng nhiều.</t>
  </si>
  <si>
    <t>Danh sách Agent</t>
  </si>
  <si>
    <t>Bắt đầu từ ngày 6/12/2022</t>
  </si>
  <si>
    <t>Top 10 sự kiện nhiều cảnh báo nhất tuần 51</t>
  </si>
  <si>
    <t>STT</t>
  </si>
  <si>
    <t>Mô tả</t>
  </si>
  <si>
    <t>Level</t>
  </si>
  <si>
    <t>Số lượng</t>
  </si>
  <si>
    <t>RuleID</t>
  </si>
  <si>
    <t>Hành Động</t>
  </si>
  <si>
    <t>Đề xuất</t>
  </si>
  <si>
    <t>Tình trạng khắc phục</t>
  </si>
  <si>
    <t>Note</t>
  </si>
  <si>
    <t>Windows application error event</t>
  </si>
  <si>
    <t>Đã xử lý bằng cách ghi đè ruie cũ và hạ xuống mức level 0 (Không đưa ra rule trên giao diện)</t>
  </si>
  <si>
    <t>Host-based anomaly detection event(root)</t>
  </si>
  <si>
    <t>Successful sudo to ROOT executed</t>
  </si>
  <si>
    <t>Summary event of the report's signature</t>
  </si>
  <si>
    <t>Logon failure - Unknowm user or bad password</t>
  </si>
  <si>
    <t>Successful sudo executed</t>
  </si>
  <si>
    <t>Interface entered in promiscuous (sniffing) mode</t>
  </si>
  <si>
    <t>Windows DC logon failure</t>
  </si>
  <si>
    <t>Windows audit failure event</t>
  </si>
  <si>
    <t>Windows System error event</t>
  </si>
  <si>
    <t>Top 5  Agent nhiều cảnh báo nhất</t>
  </si>
  <si>
    <t>Tên Agent</t>
  </si>
  <si>
    <t>log-elk-nlb-01</t>
  </si>
  <si>
    <t>log-elk-nlb-02</t>
  </si>
  <si>
    <t>cuk-ms-nlb-02</t>
  </si>
  <si>
    <t>sme-db-03.misaonline</t>
  </si>
  <si>
    <t>ocm-db-04.misaonline</t>
  </si>
  <si>
    <t>Top 10 sự kiện liên quan đến F5</t>
  </si>
  <si>
    <t xml:space="preserve">Tổng sự kiện ghi nhận trong F5: 5441 sự kiện </t>
  </si>
  <si>
    <t>Severity</t>
  </si>
  <si>
    <t>Count</t>
  </si>
  <si>
    <t>Error</t>
  </si>
  <si>
    <t>Critical</t>
  </si>
  <si>
    <t>Informational</t>
  </si>
  <si>
    <t>Warning</t>
  </si>
  <si>
    <t>Top 10 Host bị tấn công nhiều nhất</t>
  </si>
  <si>
    <t>Host Name</t>
  </si>
  <si>
    <t>mail.misa.com.vn</t>
  </si>
  <si>
    <t>www.meinvoice.vn</t>
  </si>
  <si>
    <t>help.amis.vn</t>
  </si>
  <si>
    <t>www.cukcuk.vn</t>
  </si>
  <si>
    <t>helpamis.misa.vn</t>
  </si>
  <si>
    <t>amis.misa.vn</t>
  </si>
  <si>
    <t>helpv2.cukcuk.vn</t>
  </si>
  <si>
    <t>helpv3.meinvoice.vn</t>
  </si>
  <si>
    <t>help.meinvoice.vn</t>
  </si>
  <si>
    <t>sothuchi.misa.vn</t>
  </si>
  <si>
    <t>Top 10 IP bị tình nghi tấn công nhiều nhất</t>
  </si>
  <si>
    <t>IP Server</t>
  </si>
  <si>
    <t>103.53.88.195</t>
  </si>
  <si>
    <t>103.53.89.14</t>
  </si>
  <si>
    <t>103.53.88.89</t>
  </si>
  <si>
    <t>103.53.88.37</t>
  </si>
  <si>
    <t>103.53.88.11</t>
  </si>
  <si>
    <t>103.53.88.140</t>
  </si>
  <si>
    <t>103.53.89.74</t>
  </si>
  <si>
    <t>103.53.88.44</t>
  </si>
  <si>
    <t>103.53.88.190</t>
  </si>
  <si>
    <t>103.83.88.221</t>
  </si>
  <si>
    <t>Top 10 IP tấn công nhiều nhất</t>
  </si>
  <si>
    <t>IP Attacker</t>
  </si>
  <si>
    <t>ASN</t>
  </si>
  <si>
    <t>Action</t>
  </si>
  <si>
    <t>120.72.109.98</t>
  </si>
  <si>
    <t>HCM</t>
  </si>
  <si>
    <t>171.76.83.174</t>
  </si>
  <si>
    <t>210.245.52.125</t>
  </si>
  <si>
    <t>TCT</t>
  </si>
  <si>
    <t>166.0.218.20</t>
  </si>
  <si>
    <t>222.253.52.245</t>
  </si>
  <si>
    <t>84.17.48.125</t>
  </si>
  <si>
    <t>166.0.218.27</t>
  </si>
  <si>
    <t>3.19.112.156</t>
  </si>
  <si>
    <t>166.0.218.24</t>
  </si>
  <si>
    <t>Top 10 loại cảnh báo tấn công nhiều nhất</t>
  </si>
  <si>
    <t>Attack Type</t>
  </si>
  <si>
    <t>Mức độ nghiêm trọng</t>
  </si>
  <si>
    <t>Abuse of functionality</t>
  </si>
  <si>
    <t>Command Execution</t>
  </si>
  <si>
    <t xml:space="preserve">HTTP Parser Attack </t>
  </si>
  <si>
    <t>Server Side Code Injection</t>
  </si>
  <si>
    <t>Other Application Activity</t>
  </si>
  <si>
    <t>Cross Site Scripting XSS</t>
  </si>
  <si>
    <t>Vulnerability Scan</t>
  </si>
  <si>
    <t>Buffer Overflow</t>
  </si>
  <si>
    <t>Information Leakage</t>
  </si>
  <si>
    <t>Information</t>
  </si>
  <si>
    <t>Server-Side Request Forgery</t>
  </si>
  <si>
    <t>Top 10 sự kiện liên quan đến palo alto</t>
  </si>
  <si>
    <t xml:space="preserve">Tổng sự kiện ghi nhận trong Palo Alto: 49139 sự kiện </t>
  </si>
  <si>
    <t>Mức độ</t>
  </si>
  <si>
    <t>High</t>
  </si>
  <si>
    <t>Medium</t>
  </si>
  <si>
    <t>IP local/ ip public</t>
  </si>
  <si>
    <t>Tên server</t>
  </si>
  <si>
    <t>172.16.180.25</t>
  </si>
  <si>
    <t>IP Local</t>
  </si>
  <si>
    <t>Web-ap-01</t>
  </si>
  <si>
    <t>172.16.180.26</t>
  </si>
  <si>
    <t>Web-ap-03</t>
  </si>
  <si>
    <t>172.16.180.27</t>
  </si>
  <si>
    <t>Web-ap-02</t>
  </si>
  <si>
    <t>IP Public</t>
  </si>
  <si>
    <t>103.53.88.121</t>
  </si>
  <si>
    <t>103.53.88.148</t>
  </si>
  <si>
    <t>103.53.88.133</t>
  </si>
  <si>
    <t>147.78.47.37</t>
  </si>
  <si>
    <t>141.98.81.23</t>
  </si>
  <si>
    <t>78.128.112.86</t>
  </si>
  <si>
    <t>91.191.209.2</t>
  </si>
  <si>
    <t>194.165.16.39</t>
  </si>
  <si>
    <t>194.165.17.19</t>
  </si>
  <si>
    <t>194.165.16.68</t>
  </si>
  <si>
    <t>81.19.136.15</t>
  </si>
  <si>
    <t>172.69.190.73</t>
  </si>
  <si>
    <t>172.69.190.89</t>
  </si>
  <si>
    <t xml:space="preserve">WEEKLY MEETING | MISA SECURITY OPERATION CENTER </t>
  </si>
  <si>
    <t>Thành viên: 
- Phòng QTHT
- Ban ANTT</t>
  </si>
  <si>
    <t>GHI CHÚ CÔNG VIỆC</t>
  </si>
  <si>
    <t>✓</t>
  </si>
  <si>
    <t>Sự kiện</t>
  </si>
  <si>
    <t>Đánh giá</t>
  </si>
  <si>
    <t>Công việc</t>
  </si>
  <si>
    <t>Sự kiện event ID 60602</t>
  </si>
  <si>
    <t>Bỏ sự kiện: File not Found, sự kiện không quan trọng,...</t>
  </si>
  <si>
    <t>Sự kiện Interface entered in promiscuous (sniffing) mode  (5104)</t>
  </si>
  <si>
    <t>Loại bỏ</t>
  </si>
  <si>
    <t>--&gt; Chuyển xuống Level 2 hoặc Comment</t>
  </si>
  <si>
    <t xml:space="preserve">Sự kiện Host-based anomaly detection event(root)
(510) </t>
  </si>
  <si>
    <r>
      <rPr>
        <rFont val="Roboto, Arial"/>
        <color theme="1"/>
        <sz val="12.0"/>
      </rPr>
      <t xml:space="preserve">Kiểm tra các máy chủ K8S sử dụng user nào?? 
(Cảnh báo: File sở hữu bởi root có quyền ghi bởi tất cả mọi người)
</t>
    </r>
    <r>
      <rPr>
        <rFont val="Roboto, Arial"/>
        <b/>
        <color theme="1"/>
        <sz val="12.0"/>
      </rPr>
      <t>--&gt; Loại bỏ</t>
    </r>
  </si>
  <si>
    <t>Sự kiện Logon failure - Unknowm user or bad password (60122)</t>
  </si>
  <si>
    <t>Có dấu $ ở field targetUsername --&gt; Loại bỏ</t>
  </si>
  <si>
    <t>Đã cấu hình thêm Rule 600100 &amp; 600101 là login failure cho user</t>
  </si>
  <si>
    <t>Sự kiện Logon success (60106)</t>
  </si>
  <si>
    <t>Đã cấu hình thêm Rule 600102 &amp; 600103 &amp; 600104 là login success cho user</t>
  </si>
  <si>
    <t>Sự kiện Windows DC logon failure (60131)</t>
  </si>
  <si>
    <t>Thử nghiệm Login failed bằng user --&gt; Đánh giá loại bỏ</t>
  </si>
  <si>
    <t>Disable không có user chỉ có kerberos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</si>
</sst>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m&quot;/&quot;d"/>
  </numFmts>
  <fonts count="47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b/>
      <sz val="36.0"/>
      <color theme="1"/>
      <name val="Arial"/>
      <scheme val="minor"/>
    </font>
    <font>
      <b/>
      <i/>
      <color theme="1"/>
      <name val="Arial"/>
      <scheme val="minor"/>
    </font>
    <font>
      <b/>
      <i/>
      <color rgb="FFFF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i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5.0"/>
      <color theme="1"/>
      <name val="Times New Roman"/>
    </font>
    <font>
      <sz val="12.0"/>
      <color theme="1"/>
      <name val="Times New Roman"/>
    </font>
    <font>
      <color theme="1"/>
      <name val="Arial"/>
    </font>
    <font>
      <b/>
      <sz val="13.0"/>
      <color rgb="FF000000"/>
      <name val="&quot;Times New Roman&quot;"/>
    </font>
    <font>
      <b/>
      <sz val="12.0"/>
      <color rgb="FF000000"/>
      <name val="Times New Roman"/>
    </font>
    <font>
      <sz val="12.0"/>
      <color theme="1"/>
      <name val="&quot;Times New Roman&quot;"/>
    </font>
    <font>
      <b/>
      <sz val="12.0"/>
      <color theme="1"/>
      <name val="Times New Roman"/>
    </font>
    <font>
      <b/>
      <sz val="24.0"/>
      <color theme="1"/>
      <name val="Arial"/>
      <scheme val="minor"/>
    </font>
    <font>
      <sz val="13.0"/>
      <color theme="1"/>
      <name val="Times New Roman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sz val="13.0"/>
      <color rgb="FF000000"/>
      <name val="&quot;Times New Roman&quot;"/>
    </font>
    <font>
      <b/>
      <sz val="13.0"/>
      <color theme="1"/>
      <name val="Times New Roman"/>
    </font>
    <font>
      <b/>
      <sz val="13.0"/>
      <color rgb="FF000000"/>
      <name val="Times New Roman"/>
    </font>
    <font>
      <sz val="13.0"/>
      <color rgb="FF000000"/>
      <name val="Times New Roman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  <name val="Arial"/>
    </font>
    <font>
      <u/>
      <sz val="13.0"/>
      <color rgb="FF0000FF"/>
      <name val="Arial"/>
    </font>
    <font>
      <u/>
      <sz val="13.0"/>
      <color rgb="FF0000FF"/>
    </font>
    <font>
      <sz val="13.0"/>
      <color rgb="FF000000"/>
      <name val="Arial"/>
    </font>
    <font>
      <sz val="13.0"/>
      <color theme="1"/>
      <name val="Arial"/>
    </font>
    <font>
      <sz val="20.0"/>
      <color rgb="FFFFFFFF"/>
      <name val="Roboto"/>
    </font>
    <font>
      <b/>
      <sz val="14.0"/>
      <color rgb="FFFFFFFF"/>
      <name val="Roboto"/>
    </font>
    <font>
      <b/>
      <sz val="11.0"/>
      <color rgb="FFFFFFFF"/>
      <name val="Roboto"/>
    </font>
    <font>
      <sz val="11.0"/>
      <color rgb="FFFFFFFF"/>
      <name val="Roboto"/>
    </font>
    <font>
      <sz val="12.0"/>
      <color theme="1"/>
      <name val="Arial"/>
    </font>
    <font>
      <sz val="12.0"/>
      <color rgb="FF666666"/>
      <name val="Roboto"/>
    </font>
    <font>
      <b/>
      <sz val="12.0"/>
      <color theme="1"/>
      <name val="Roboto"/>
    </font>
    <font>
      <sz val="12.0"/>
      <color rgb="FF434343"/>
      <name val="Roboto"/>
    </font>
    <font>
      <b/>
      <sz val="12.0"/>
      <color theme="1"/>
      <name val="Arial"/>
    </font>
    <font>
      <sz val="12.0"/>
      <color theme="1"/>
      <name val="Roboto"/>
    </font>
    <font>
      <b/>
      <sz val="12.0"/>
      <color rgb="FF000000"/>
      <name val="Roboto"/>
    </font>
    <font>
      <sz val="12.0"/>
      <color rgb="FF000000"/>
      <name val="Arial"/>
    </font>
    <font>
      <b/>
      <sz val="12.0"/>
      <color rgb="FF434343"/>
      <name val="Roboto"/>
    </font>
    <font>
      <color rgb="FF434343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CE5CD"/>
        <bgColor rgb="FFFCE5C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hair">
        <color rgb="FFD9D9D9"/>
      </bottom>
    </border>
    <border>
      <left style="thin">
        <color rgb="FF000000"/>
      </left>
      <right style="thin">
        <color rgb="FF000000"/>
      </right>
      <bottom style="hair">
        <color rgb="FFD9D9D9"/>
      </bottom>
    </border>
    <border>
      <right style="thin">
        <color rgb="FF000000"/>
      </right>
      <bottom style="hair">
        <color rgb="FFD9D9D9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left" readingOrder="0"/>
    </xf>
    <xf borderId="0" fillId="5" fontId="4" numFmtId="0" xfId="0" applyAlignment="1" applyFill="1" applyFont="1">
      <alignment readingOrder="0"/>
    </xf>
    <xf borderId="0" fillId="5" fontId="5" numFmtId="0" xfId="0" applyAlignment="1" applyFont="1">
      <alignment horizontal="left" readingOrder="0"/>
    </xf>
    <xf borderId="0" fillId="5" fontId="6" numFmtId="0" xfId="0" applyAlignment="1" applyFont="1">
      <alignment horizontal="center"/>
    </xf>
    <xf borderId="0" fillId="5" fontId="6" numFmtId="0" xfId="0" applyFont="1"/>
    <xf borderId="0" fillId="4" fontId="6" numFmtId="0" xfId="0" applyAlignment="1" applyFont="1">
      <alignment horizontal="center"/>
    </xf>
    <xf borderId="1" fillId="6" fontId="3" numFmtId="0" xfId="0" applyAlignment="1" applyBorder="1" applyFill="1" applyFont="1">
      <alignment readingOrder="0"/>
    </xf>
    <xf borderId="2" fillId="6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5" fontId="3" numFmtId="0" xfId="0" applyAlignment="1" applyFont="1">
      <alignment horizontal="left" readingOrder="0"/>
    </xf>
    <xf borderId="0" fillId="5" fontId="8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1" fillId="6" fontId="8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4" fontId="3" numFmtId="0" xfId="0" applyAlignment="1" applyBorder="1" applyFont="1">
      <alignment readingOrder="0"/>
    </xf>
    <xf borderId="2" fillId="4" fontId="6" numFmtId="0" xfId="0" applyAlignment="1" applyBorder="1" applyFont="1">
      <alignment horizontal="center"/>
    </xf>
    <xf borderId="1" fillId="6" fontId="9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4" fontId="6" numFmtId="0" xfId="0" applyFont="1"/>
    <xf borderId="0" fillId="0" fontId="6" numFmtId="0" xfId="0" applyAlignment="1" applyFont="1">
      <alignment readingOrder="0"/>
    </xf>
    <xf borderId="1" fillId="7" fontId="8" numFmtId="0" xfId="0" applyAlignment="1" applyBorder="1" applyFill="1" applyFont="1">
      <alignment horizontal="center" readingOrder="0"/>
    </xf>
    <xf borderId="0" fillId="6" fontId="3" numFmtId="0" xfId="0" applyAlignment="1" applyFont="1">
      <alignment horizontal="center" readingOrder="0" vertical="center"/>
    </xf>
    <xf borderId="1" fillId="5" fontId="6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6" fillId="0" fontId="7" numFmtId="0" xfId="0" applyBorder="1" applyFont="1"/>
    <xf borderId="1" fillId="0" fontId="6" numFmtId="0" xfId="0" applyBorder="1" applyFont="1"/>
    <xf borderId="7" fillId="0" fontId="7" numFmtId="0" xfId="0" applyBorder="1" applyFont="1"/>
    <xf borderId="8" fillId="0" fontId="7" numFmtId="0" xfId="0" applyBorder="1" applyFont="1"/>
    <xf borderId="0" fillId="8" fontId="8" numFmtId="0" xfId="0" applyAlignment="1" applyFill="1" applyFont="1">
      <alignment horizontal="center" readingOrder="0" vertical="center"/>
    </xf>
    <xf borderId="0" fillId="8" fontId="8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9" fontId="6" numFmtId="0" xfId="0" applyAlignment="1" applyFill="1" applyFont="1">
      <alignment readingOrder="0"/>
    </xf>
    <xf borderId="0" fillId="6" fontId="8" numFmtId="0" xfId="0" applyAlignment="1" applyFont="1">
      <alignment horizontal="center" readingOrder="0" textRotation="90" vertical="center"/>
    </xf>
    <xf borderId="0" fillId="0" fontId="8" numFmtId="0" xfId="0" applyAlignment="1" applyFont="1">
      <alignment readingOrder="0" vertical="center"/>
    </xf>
    <xf borderId="0" fillId="9" fontId="6" numFmtId="0" xfId="0" applyAlignment="1" applyFont="1">
      <alignment readingOrder="0" vertical="center"/>
    </xf>
    <xf borderId="0" fillId="7" fontId="6" numFmtId="0" xfId="0" applyAlignment="1" applyFont="1">
      <alignment readingOrder="0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vertical="center" wrapText="1"/>
    </xf>
    <xf borderId="9" fillId="8" fontId="11" numFmtId="0" xfId="0" applyAlignment="1" applyBorder="1" applyFon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0" fillId="0" fontId="12" numFmtId="0" xfId="0" applyFont="1"/>
    <xf borderId="12" fillId="0" fontId="7" numFmtId="0" xfId="0" applyBorder="1" applyFont="1"/>
    <xf borderId="13" fillId="0" fontId="7" numFmtId="0" xfId="0" applyBorder="1" applyFont="1"/>
    <xf borderId="0" fillId="0" fontId="12" numFmtId="0" xfId="0" applyAlignment="1" applyFont="1">
      <alignment horizontal="left" shrinkToFit="0" vertical="top" wrapText="1"/>
    </xf>
    <xf borderId="0" fillId="0" fontId="13" numFmtId="0" xfId="0" applyAlignment="1" applyFont="1">
      <alignment vertical="bottom"/>
    </xf>
    <xf borderId="0" fillId="0" fontId="14" numFmtId="0" xfId="0" applyFont="1"/>
    <xf borderId="1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1" fillId="0" fontId="16" numFmtId="3" xfId="0" applyAlignment="1" applyBorder="1" applyFont="1" applyNumberFormat="1">
      <alignment horizontal="center" shrinkToFit="0" vertical="top" wrapText="1"/>
    </xf>
    <xf borderId="1" fillId="0" fontId="12" numFmtId="3" xfId="0" applyAlignment="1" applyBorder="1" applyFont="1" applyNumberFormat="1">
      <alignment horizontal="center" readingOrder="0" shrinkToFit="0" vertical="top" wrapText="1"/>
    </xf>
    <xf borderId="0" fillId="0" fontId="12" numFmtId="0" xfId="0" applyAlignment="1" applyFont="1">
      <alignment readingOrder="0"/>
    </xf>
    <xf borderId="1" fillId="10" fontId="15" numFmtId="0" xfId="0" applyAlignment="1" applyBorder="1" applyFill="1" applyFont="1">
      <alignment horizontal="left" readingOrder="0" shrinkToFit="0" wrapText="1"/>
    </xf>
    <xf borderId="7" fillId="11" fontId="16" numFmtId="3" xfId="0" applyAlignment="1" applyBorder="1" applyFill="1" applyFont="1" applyNumberFormat="1">
      <alignment horizontal="center" shrinkToFit="0" vertical="top" wrapText="1"/>
    </xf>
    <xf borderId="1" fillId="11" fontId="12" numFmtId="3" xfId="0" applyAlignment="1" applyBorder="1" applyFont="1" applyNumberFormat="1">
      <alignment horizontal="center" readingOrder="0" shrinkToFit="0" vertical="top" wrapText="1"/>
    </xf>
    <xf borderId="1" fillId="11" fontId="12" numFmtId="0" xfId="0" applyBorder="1" applyFont="1"/>
    <xf borderId="1" fillId="12" fontId="17" numFmtId="0" xfId="0" applyAlignment="1" applyBorder="1" applyFill="1" applyFont="1">
      <alignment horizontal="left" readingOrder="0" shrinkToFit="0" vertical="top" wrapText="1"/>
    </xf>
    <xf borderId="7" fillId="13" fontId="16" numFmtId="3" xfId="0" applyAlignment="1" applyBorder="1" applyFill="1" applyFont="1" applyNumberFormat="1">
      <alignment horizontal="center" shrinkToFit="0" vertical="top" wrapText="1"/>
    </xf>
    <xf borderId="1" fillId="13" fontId="12" numFmtId="3" xfId="0" applyAlignment="1" applyBorder="1" applyFont="1" applyNumberFormat="1">
      <alignment horizontal="center" readingOrder="0" shrinkToFit="0" vertical="top" wrapText="1"/>
    </xf>
    <xf borderId="1" fillId="13" fontId="12" numFmtId="0" xfId="0" applyBorder="1" applyFont="1"/>
    <xf borderId="1" fillId="14" fontId="17" numFmtId="0" xfId="0" applyAlignment="1" applyBorder="1" applyFill="1" applyFont="1">
      <alignment horizontal="left" readingOrder="0" shrinkToFit="0" vertical="top" wrapText="1"/>
    </xf>
    <xf borderId="7" fillId="14" fontId="16" numFmtId="3" xfId="0" applyAlignment="1" applyBorder="1" applyFont="1" applyNumberFormat="1">
      <alignment horizontal="center" shrinkToFit="0" vertical="top" wrapText="1"/>
    </xf>
    <xf borderId="1" fillId="14" fontId="12" numFmtId="3" xfId="0" applyAlignment="1" applyBorder="1" applyFont="1" applyNumberFormat="1">
      <alignment horizontal="center" readingOrder="0" shrinkToFit="0" vertical="top" wrapText="1"/>
    </xf>
    <xf borderId="1" fillId="14" fontId="12" numFmtId="0" xfId="0" applyBorder="1" applyFont="1"/>
    <xf borderId="0" fillId="15" fontId="18" numFmtId="0" xfId="0" applyAlignment="1" applyFill="1" applyFont="1">
      <alignment horizontal="center" readingOrder="0" vertical="center"/>
    </xf>
    <xf borderId="0" fillId="0" fontId="19" numFmtId="0" xfId="0" applyAlignment="1" applyFont="1">
      <alignment shrinkToFit="0" wrapText="1"/>
    </xf>
    <xf borderId="0" fillId="0" fontId="6" numFmtId="0" xfId="0" applyAlignment="1" applyFont="1">
      <alignment shrinkToFit="0" wrapText="0"/>
    </xf>
    <xf borderId="0" fillId="0" fontId="20" numFmtId="0" xfId="0" applyAlignment="1" applyFont="1">
      <alignment readingOrder="0"/>
    </xf>
    <xf borderId="0" fillId="0" fontId="21" numFmtId="0" xfId="0" applyFont="1"/>
    <xf borderId="0" fillId="0" fontId="19" numFmtId="0" xfId="0" applyAlignment="1" applyFont="1">
      <alignment readingOrder="0" shrinkToFit="0" wrapText="1"/>
    </xf>
    <xf borderId="0" fillId="16" fontId="22" numFmtId="0" xfId="0" applyAlignment="1" applyFill="1" applyFont="1">
      <alignment horizontal="center" shrinkToFit="0" wrapText="1"/>
    </xf>
    <xf borderId="0" fillId="0" fontId="19" numFmtId="0" xfId="0" applyAlignment="1" applyFont="1">
      <alignment horizontal="center" shrinkToFit="0" wrapText="0"/>
    </xf>
    <xf borderId="0" fillId="0" fontId="19" numFmtId="0" xfId="0" applyAlignment="1" applyFont="1">
      <alignment horizontal="center" shrinkToFit="0" wrapText="1"/>
    </xf>
    <xf borderId="9" fillId="8" fontId="23" numFmtId="0" xfId="0" applyAlignment="1" applyBorder="1" applyFont="1">
      <alignment horizontal="center" readingOrder="0" shrinkToFit="0" vertical="center" wrapText="1"/>
    </xf>
    <xf borderId="1" fillId="17" fontId="24" numFmtId="0" xfId="0" applyAlignment="1" applyBorder="1" applyFill="1" applyFont="1">
      <alignment horizontal="center" readingOrder="0" shrinkToFit="0" wrapText="1"/>
    </xf>
    <xf borderId="1" fillId="17" fontId="24" numFmtId="0" xfId="0" applyAlignment="1" applyBorder="1" applyFont="1">
      <alignment horizontal="center" readingOrder="0" shrinkToFit="0" wrapText="0"/>
    </xf>
    <xf borderId="1" fillId="17" fontId="23" numFmtId="0" xfId="0" applyAlignment="1" applyBorder="1" applyFont="1">
      <alignment horizontal="center" readingOrder="0" shrinkToFit="0" wrapText="1"/>
    </xf>
    <xf borderId="1" fillId="17" fontId="23" numFmtId="0" xfId="0" applyAlignment="1" applyBorder="1" applyFont="1">
      <alignment readingOrder="0" shrinkToFit="0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0"/>
    </xf>
    <xf borderId="0" fillId="3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19" numFmtId="3" xfId="0" applyAlignment="1" applyFont="1" applyNumberFormat="1">
      <alignment horizontal="center" readingOrder="0" shrinkToFit="0" wrapText="1"/>
    </xf>
    <xf borderId="0" fillId="0" fontId="19" numFmtId="0" xfId="0" applyAlignment="1" applyFont="1">
      <alignment horizontal="center" shrinkToFit="0" wrapText="0"/>
    </xf>
    <xf borderId="0" fillId="0" fontId="19" numFmtId="0" xfId="0" applyAlignment="1" applyFont="1">
      <alignment shrinkToFit="0" wrapText="0"/>
    </xf>
    <xf borderId="0" fillId="8" fontId="26" numFmtId="0" xfId="0" applyAlignment="1" applyFont="1">
      <alignment horizontal="center" readingOrder="0" vertical="center"/>
    </xf>
    <xf borderId="0" fillId="0" fontId="27" numFmtId="0" xfId="0" applyFont="1"/>
    <xf borderId="0" fillId="0" fontId="26" numFmtId="0" xfId="0" applyAlignment="1" applyFont="1">
      <alignment readingOrder="0"/>
    </xf>
    <xf borderId="1" fillId="0" fontId="26" numFmtId="0" xfId="0" applyAlignment="1" applyBorder="1" applyFont="1">
      <alignment readingOrder="0"/>
    </xf>
    <xf borderId="1" fillId="0" fontId="27" numFmtId="0" xfId="0" applyAlignment="1" applyBorder="1" applyFont="1">
      <alignment readingOrder="0"/>
    </xf>
    <xf borderId="1" fillId="0" fontId="28" numFmtId="0" xfId="0" applyAlignment="1" applyBorder="1" applyFont="1">
      <alignment horizontal="left" readingOrder="0"/>
    </xf>
    <xf borderId="0" fillId="0" fontId="29" numFmtId="0" xfId="0" applyAlignment="1" applyFont="1">
      <alignment horizontal="left" readingOrder="0"/>
    </xf>
    <xf borderId="1" fillId="0" fontId="30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1" fillId="0" fontId="27" numFmtId="3" xfId="0" applyAlignment="1" applyBorder="1" applyFont="1" applyNumberFormat="1">
      <alignment horizontal="left" readingOrder="0"/>
    </xf>
    <xf borderId="1" fillId="0" fontId="27" numFmtId="0" xfId="0" applyAlignment="1" applyBorder="1" applyFont="1">
      <alignment horizontal="left" readingOrder="0"/>
    </xf>
    <xf borderId="0" fillId="0" fontId="27" numFmtId="0" xfId="0" applyAlignment="1" applyFont="1">
      <alignment horizontal="left"/>
    </xf>
    <xf borderId="1" fillId="18" fontId="31" numFmtId="0" xfId="0" applyAlignment="1" applyBorder="1" applyFill="1" applyFont="1">
      <alignment horizontal="left" readingOrder="0"/>
    </xf>
    <xf borderId="1" fillId="18" fontId="27" numFmtId="0" xfId="0" applyAlignment="1" applyBorder="1" applyFont="1">
      <alignment readingOrder="0"/>
    </xf>
    <xf borderId="1" fillId="19" fontId="31" numFmtId="0" xfId="0" applyAlignment="1" applyBorder="1" applyFill="1" applyFont="1">
      <alignment horizontal="left" readingOrder="0"/>
    </xf>
    <xf borderId="0" fillId="16" fontId="31" numFmtId="0" xfId="0" applyAlignment="1" applyFont="1">
      <alignment horizontal="left" readingOrder="0"/>
    </xf>
    <xf borderId="1" fillId="20" fontId="27" numFmtId="0" xfId="0" applyAlignment="1" applyBorder="1" applyFill="1" applyFont="1">
      <alignment readingOrder="0"/>
    </xf>
    <xf borderId="1" fillId="19" fontId="27" numFmtId="0" xfId="0" applyAlignment="1" applyBorder="1" applyFont="1">
      <alignment readingOrder="0"/>
    </xf>
    <xf borderId="0" fillId="0" fontId="32" numFmtId="0" xfId="0" applyFont="1"/>
    <xf borderId="0" fillId="16" fontId="27" numFmtId="0" xfId="0" applyAlignment="1" applyFont="1">
      <alignment readingOrder="0"/>
    </xf>
    <xf borderId="0" fillId="16" fontId="26" numFmtId="0" xfId="0" applyAlignment="1" applyFont="1">
      <alignment readingOrder="0"/>
    </xf>
    <xf borderId="0" fillId="16" fontId="27" numFmtId="0" xfId="0" applyFont="1"/>
    <xf borderId="0" fillId="16" fontId="6" numFmtId="0" xfId="0" applyFont="1"/>
    <xf borderId="0" fillId="21" fontId="33" numFmtId="0" xfId="0" applyAlignment="1" applyFill="1" applyFont="1">
      <alignment horizontal="center" readingOrder="0" shrinkToFit="0" vertical="bottom" wrapText="1"/>
    </xf>
    <xf borderId="0" fillId="0" fontId="20" numFmtId="0" xfId="0" applyAlignment="1" applyFont="1">
      <alignment horizontal="center" readingOrder="0" vertical="center"/>
    </xf>
    <xf borderId="0" fillId="21" fontId="13" numFmtId="0" xfId="0" applyAlignment="1" applyFont="1">
      <alignment vertical="bottom"/>
    </xf>
    <xf borderId="0" fillId="21" fontId="34" numFmtId="0" xfId="0" applyAlignment="1" applyFont="1">
      <alignment readingOrder="0" shrinkToFit="0" vertical="bottom" wrapText="1"/>
    </xf>
    <xf borderId="0" fillId="21" fontId="33" numFmtId="0" xfId="0" applyAlignment="1" applyFont="1">
      <alignment horizontal="center" shrinkToFit="0" vertical="bottom" wrapText="1"/>
    </xf>
    <xf borderId="0" fillId="22" fontId="35" numFmtId="0" xfId="0" applyAlignment="1" applyFill="1" applyFont="1">
      <alignment horizontal="center"/>
    </xf>
    <xf borderId="0" fillId="22" fontId="35" numFmtId="0" xfId="0" applyAlignment="1" applyFont="1">
      <alignment horizontal="center" readingOrder="0"/>
    </xf>
    <xf borderId="0" fillId="22" fontId="35" numFmtId="0" xfId="0" applyAlignment="1" applyFont="1">
      <alignment horizontal="center" readingOrder="0" shrinkToFit="0" wrapText="1"/>
    </xf>
    <xf borderId="0" fillId="22" fontId="36" numFmtId="0" xfId="0" applyAlignment="1" applyFont="1">
      <alignment horizontal="center" readingOrder="0"/>
    </xf>
    <xf borderId="0" fillId="22" fontId="36" numFmtId="0" xfId="0" applyAlignment="1" applyFont="1">
      <alignment horizontal="center"/>
    </xf>
    <xf borderId="1" fillId="23" fontId="37" numFmtId="0" xfId="0" applyAlignment="1" applyBorder="1" applyFill="1" applyFont="1">
      <alignment shrinkToFit="0" vertical="center" wrapText="1"/>
    </xf>
    <xf borderId="1" fillId="23" fontId="38" numFmtId="0" xfId="0" applyAlignment="1" applyBorder="1" applyFont="1">
      <alignment horizontal="center" readingOrder="0" shrinkToFit="0" vertical="center" wrapText="1"/>
    </xf>
    <xf borderId="1" fillId="23" fontId="39" numFmtId="0" xfId="0" applyAlignment="1" applyBorder="1" applyFont="1">
      <alignment shrinkToFit="0" wrapText="1"/>
    </xf>
    <xf borderId="4" fillId="23" fontId="37" numFmtId="0" xfId="0" applyAlignment="1" applyBorder="1" applyFont="1">
      <alignment shrinkToFit="0" wrapText="1"/>
    </xf>
    <xf borderId="4" fillId="23" fontId="13" numFmtId="164" xfId="0" applyBorder="1" applyFont="1" applyNumberFormat="1"/>
    <xf borderId="1" fillId="23" fontId="38" numFmtId="0" xfId="0" applyAlignment="1" applyBorder="1" applyFont="1">
      <alignment horizontal="center" shrinkToFit="0" vertical="center" wrapText="1"/>
    </xf>
    <xf borderId="1" fillId="23" fontId="6" numFmtId="0" xfId="0" applyBorder="1" applyFont="1"/>
    <xf borderId="1" fillId="23" fontId="40" numFmtId="164" xfId="0" applyAlignment="1" applyBorder="1" applyFont="1" applyNumberFormat="1">
      <alignment horizontal="center" shrinkToFit="0" vertical="center" wrapText="1"/>
    </xf>
    <xf borderId="7" fillId="23" fontId="39" numFmtId="0" xfId="0" applyAlignment="1" applyBorder="1" applyFont="1">
      <alignment shrinkToFit="0" wrapText="1"/>
    </xf>
    <xf borderId="13" fillId="23" fontId="41" numFmtId="0" xfId="0" applyAlignment="1" applyBorder="1" applyFont="1">
      <alignment shrinkToFit="0" wrapText="1"/>
    </xf>
    <xf borderId="13" fillId="23" fontId="37" numFmtId="164" xfId="0" applyAlignment="1" applyBorder="1" applyFont="1" applyNumberFormat="1">
      <alignment horizontal="center" shrinkToFit="0" wrapText="1"/>
    </xf>
    <xf borderId="1" fillId="23" fontId="40" numFmtId="0" xfId="0" applyAlignment="1" applyBorder="1" applyFont="1">
      <alignment horizontal="center" shrinkToFit="0" vertical="center" wrapText="1"/>
    </xf>
    <xf borderId="1" fillId="23" fontId="37" numFmtId="164" xfId="0" applyAlignment="1" applyBorder="1" applyFont="1" applyNumberFormat="1">
      <alignment shrinkToFit="0" vertical="center" wrapText="1"/>
    </xf>
    <xf borderId="13" fillId="23" fontId="42" numFmtId="0" xfId="0" applyAlignment="1" applyBorder="1" applyFont="1">
      <alignment shrinkToFit="0" wrapText="1"/>
    </xf>
    <xf borderId="13" fillId="23" fontId="13" numFmtId="164" xfId="0" applyBorder="1" applyFont="1" applyNumberFormat="1"/>
    <xf borderId="13" fillId="23" fontId="42" numFmtId="0" xfId="0" applyAlignment="1" applyBorder="1" applyFont="1">
      <alignment shrinkToFit="0" wrapText="1"/>
    </xf>
    <xf borderId="13" fillId="23" fontId="42" numFmtId="0" xfId="0" applyAlignment="1" applyBorder="1" applyFont="1">
      <alignment horizontal="center" shrinkToFit="0" wrapText="1"/>
    </xf>
    <xf borderId="13" fillId="23" fontId="37" numFmtId="0" xfId="0" applyAlignment="1" applyBorder="1" applyFont="1">
      <alignment shrinkToFit="0" wrapText="1"/>
    </xf>
    <xf borderId="13" fillId="23" fontId="37" numFmtId="0" xfId="0" applyAlignment="1" applyBorder="1" applyFont="1">
      <alignment horizontal="center" shrinkToFit="0" wrapText="1"/>
    </xf>
    <xf borderId="1" fillId="23" fontId="43" numFmtId="0" xfId="0" applyAlignment="1" applyBorder="1" applyFont="1">
      <alignment horizontal="left" readingOrder="0" shrinkToFit="0" vertical="center" wrapText="1"/>
    </xf>
    <xf borderId="1" fillId="23" fontId="44" numFmtId="0" xfId="0" applyAlignment="1" applyBorder="1" applyFont="1">
      <alignment horizontal="left" readingOrder="0" shrinkToFit="0" vertical="center" wrapText="1"/>
    </xf>
    <xf borderId="1" fillId="23" fontId="37" numFmtId="0" xfId="0" applyAlignment="1" applyBorder="1" applyFont="1">
      <alignment horizontal="center" readingOrder="0" shrinkToFit="0" vertical="center" wrapText="1"/>
    </xf>
    <xf borderId="1" fillId="23" fontId="45" numFmtId="0" xfId="0" applyAlignment="1" applyBorder="1" applyFont="1">
      <alignment horizontal="left" readingOrder="0" shrinkToFit="0" vertical="center" wrapText="1"/>
    </xf>
    <xf borderId="1" fillId="23" fontId="37" numFmtId="0" xfId="0" applyAlignment="1" applyBorder="1" applyFont="1">
      <alignment horizontal="left" readingOrder="0" shrinkToFit="0" vertical="center" wrapText="1"/>
    </xf>
    <xf borderId="1" fillId="23" fontId="37" numFmtId="164" xfId="0" applyAlignment="1" applyBorder="1" applyFont="1" applyNumberFormat="1">
      <alignment horizontal="center" shrinkToFit="0" vertical="center" wrapText="1"/>
    </xf>
    <xf borderId="1" fillId="23" fontId="40" numFmtId="164" xfId="0" applyAlignment="1" applyBorder="1" applyFont="1" applyNumberFormat="1">
      <alignment horizontal="left" shrinkToFit="0" vertical="center" wrapText="1"/>
    </xf>
    <xf borderId="14" fillId="0" fontId="37" numFmtId="0" xfId="0" applyAlignment="1" applyBorder="1" applyFont="1">
      <alignment shrinkToFit="0" vertical="center" wrapText="1"/>
    </xf>
    <xf borderId="15" fillId="0" fontId="40" numFmtId="164" xfId="0" applyAlignment="1" applyBorder="1" applyFont="1" applyNumberFormat="1">
      <alignment horizontal="center" shrinkToFit="0" vertical="center" wrapText="1"/>
    </xf>
    <xf borderId="16" fillId="0" fontId="40" numFmtId="0" xfId="0" applyAlignment="1" applyBorder="1" applyFont="1">
      <alignment horizontal="center" shrinkToFit="0" vertical="center" wrapText="1"/>
    </xf>
    <xf borderId="16" fillId="0" fontId="40" numFmtId="164" xfId="0" applyAlignment="1" applyBorder="1" applyFont="1" applyNumberFormat="1">
      <alignment horizontal="left" shrinkToFit="0" vertical="center" wrapText="1"/>
    </xf>
    <xf borderId="16" fillId="0" fontId="37" numFmtId="164" xfId="0" applyAlignment="1" applyBorder="1" applyFont="1" applyNumberFormat="1">
      <alignment horizontal="center" shrinkToFit="0" vertical="center" wrapText="1"/>
    </xf>
    <xf borderId="16" fillId="0" fontId="37" numFmtId="164" xfId="0" applyAlignment="1" applyBorder="1" applyFont="1" applyNumberFormat="1">
      <alignment shrinkToFit="0" vertical="center" wrapText="1"/>
    </xf>
    <xf borderId="14" fillId="0" fontId="13" numFmtId="0" xfId="0" applyAlignment="1" applyBorder="1" applyFont="1">
      <alignment vertical="center"/>
    </xf>
    <xf borderId="15" fillId="0" fontId="46" numFmtId="164" xfId="0" applyAlignment="1" applyBorder="1" applyFont="1" applyNumberFormat="1">
      <alignment horizontal="center" vertical="center"/>
    </xf>
    <xf borderId="16" fillId="0" fontId="46" numFmtId="0" xfId="0" applyAlignment="1" applyBorder="1" applyFont="1">
      <alignment horizontal="center" shrinkToFit="0" vertical="center" wrapText="1"/>
    </xf>
    <xf borderId="16" fillId="0" fontId="46" numFmtId="164" xfId="0" applyAlignment="1" applyBorder="1" applyFont="1" applyNumberFormat="1">
      <alignment horizontal="left" vertical="center"/>
    </xf>
    <xf borderId="16" fillId="0" fontId="13" numFmtId="164" xfId="0" applyAlignment="1" applyBorder="1" applyFont="1" applyNumberFormat="1">
      <alignment vertical="center"/>
    </xf>
    <xf borderId="16" fillId="0" fontId="46" numFmtId="164" xfId="0" applyAlignment="1" applyBorder="1" applyFont="1" applyNumberFormat="1">
      <alignment horizontal="center" vertical="center"/>
    </xf>
    <xf borderId="14" fillId="0" fontId="13" numFmtId="0" xfId="0" applyBorder="1" applyFont="1"/>
    <xf borderId="15" fillId="0" fontId="46" numFmtId="164" xfId="0" applyAlignment="1" applyBorder="1" applyFont="1" applyNumberFormat="1">
      <alignment horizontal="center"/>
    </xf>
    <xf borderId="16" fillId="0" fontId="46" numFmtId="0" xfId="0" applyAlignment="1" applyBorder="1" applyFont="1">
      <alignment horizontal="center" shrinkToFit="0" wrapText="1"/>
    </xf>
    <xf borderId="16" fillId="0" fontId="46" numFmtId="164" xfId="0" applyAlignment="1" applyBorder="1" applyFont="1" applyNumberFormat="1">
      <alignment horizontal="center"/>
    </xf>
    <xf borderId="16" fillId="0" fontId="13" numFmtId="164" xfId="0" applyBorder="1" applyFont="1" applyNumberFormat="1"/>
    <xf borderId="14" fillId="0" fontId="46" numFmtId="164" xfId="0" applyAlignment="1" applyBorder="1" applyFont="1" applyNumberFormat="1">
      <alignment horizontal="center"/>
    </xf>
    <xf borderId="14" fillId="0" fontId="1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8.png"/><Relationship Id="rId5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2867025</xdr:colOff>
      <xdr:row>0</xdr:row>
      <xdr:rowOff>209550</xdr:rowOff>
    </xdr:from>
    <xdr:ext cx="1695450" cy="6953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</xdr:row>
      <xdr:rowOff>28575</xdr:rowOff>
    </xdr:from>
    <xdr:ext cx="11306175" cy="47244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7</xdr:row>
      <xdr:rowOff>152400</xdr:rowOff>
    </xdr:from>
    <xdr:ext cx="14792325" cy="520065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51</xdr:row>
      <xdr:rowOff>171450</xdr:rowOff>
    </xdr:from>
    <xdr:ext cx="13049250" cy="7581900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38</xdr:row>
      <xdr:rowOff>85725</xdr:rowOff>
    </xdr:from>
    <xdr:ext cx="14754225" cy="2590800"/>
    <xdr:pic>
      <xdr:nvPicPr>
        <xdr:cNvPr id="0" name="image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7</xdr:row>
      <xdr:rowOff>200025</xdr:rowOff>
    </xdr:from>
    <xdr:ext cx="6848475" cy="10896600"/>
    <xdr:pic>
      <xdr:nvPicPr>
        <xdr:cNvPr id="0" name="image6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17</xdr:row>
      <xdr:rowOff>190500</xdr:rowOff>
    </xdr:from>
    <xdr:ext cx="5762625" cy="32385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200025</xdr:rowOff>
    </xdr:from>
    <xdr:ext cx="4762500" cy="26765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5762625" cy="323850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161925</xdr:rowOff>
    </xdr:from>
    <xdr:ext cx="5762625" cy="323850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5762625" cy="32385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104775</xdr:rowOff>
    </xdr:from>
    <xdr:ext cx="5762625" cy="32385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123825</xdr:rowOff>
    </xdr:from>
    <xdr:ext cx="5762625" cy="32385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16</xdr:row>
      <xdr:rowOff>180975</xdr:rowOff>
    </xdr:from>
    <xdr:ext cx="5762625" cy="32385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7545050" cy="781050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ail.misa.com.vn:8443/" TargetMode="External"/><Relationship Id="rId2" Type="http://schemas.openxmlformats.org/officeDocument/2006/relationships/hyperlink" Target="http://mail.misa.com.vn:8443/" TargetMode="External"/><Relationship Id="rId3" Type="http://schemas.openxmlformats.org/officeDocument/2006/relationships/hyperlink" Target="http://help.amis.vn/" TargetMode="External"/><Relationship Id="rId4" Type="http://schemas.openxmlformats.org/officeDocument/2006/relationships/hyperlink" Target="http://www.cukcuk.vn/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://sothuchi.misa.vn/" TargetMode="External"/><Relationship Id="rId9" Type="http://schemas.openxmlformats.org/officeDocument/2006/relationships/hyperlink" Target="http://help.meinvoice.vn/" TargetMode="External"/><Relationship Id="rId5" Type="http://schemas.openxmlformats.org/officeDocument/2006/relationships/hyperlink" Target="http://misa.vn/" TargetMode="External"/><Relationship Id="rId6" Type="http://schemas.openxmlformats.org/officeDocument/2006/relationships/hyperlink" Target="http://amis.misa.vn/" TargetMode="External"/><Relationship Id="rId7" Type="http://schemas.openxmlformats.org/officeDocument/2006/relationships/hyperlink" Target="http://helpv2.cukcuk.vn/" TargetMode="External"/><Relationship Id="rId8" Type="http://schemas.openxmlformats.org/officeDocument/2006/relationships/hyperlink" Target="http://helpv3.meinvoice.v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46.75"/>
    <col customWidth="1" min="3" max="3" width="50.75"/>
    <col customWidth="1" min="4" max="4" width="70.25"/>
  </cols>
  <sheetData>
    <row r="1" ht="83.25" customHeight="1">
      <c r="A1" s="1" t="s">
        <v>0</v>
      </c>
    </row>
    <row r="2" ht="106.5" customHeight="1">
      <c r="A2" s="2" t="s">
        <v>1</v>
      </c>
    </row>
    <row r="3" ht="18.0" customHeight="1">
      <c r="A3" s="3" t="s">
        <v>2</v>
      </c>
      <c r="B3" s="4" t="s">
        <v>3</v>
      </c>
    </row>
    <row r="4">
      <c r="A4" s="5" t="s">
        <v>4</v>
      </c>
      <c r="B4" s="6" t="s">
        <v>5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6</v>
      </c>
      <c r="B5" s="9"/>
    </row>
    <row r="6">
      <c r="A6" s="10" t="s">
        <v>7</v>
      </c>
      <c r="B6" s="11"/>
      <c r="C6" s="12"/>
      <c r="D6" s="13"/>
    </row>
    <row r="7">
      <c r="A7" s="10" t="s">
        <v>8</v>
      </c>
      <c r="B7" s="11"/>
      <c r="C7" s="12"/>
      <c r="D7" s="13"/>
    </row>
    <row r="8">
      <c r="A8" s="10" t="s">
        <v>9</v>
      </c>
      <c r="B8" s="11"/>
      <c r="C8" s="12"/>
      <c r="D8" s="13"/>
    </row>
    <row r="9">
      <c r="A9" s="14"/>
      <c r="B9" s="15"/>
      <c r="C9" s="15"/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10</v>
      </c>
      <c r="B10" s="16"/>
    </row>
    <row r="11">
      <c r="A11" s="17" t="s">
        <v>11</v>
      </c>
      <c r="B11" s="17" t="s">
        <v>12</v>
      </c>
      <c r="C11" s="17" t="s">
        <v>13</v>
      </c>
      <c r="D11" s="17" t="s">
        <v>14</v>
      </c>
    </row>
    <row r="12">
      <c r="A12" s="18" t="s">
        <v>15</v>
      </c>
      <c r="B12" s="18" t="s">
        <v>16</v>
      </c>
      <c r="C12" s="18" t="s">
        <v>17</v>
      </c>
      <c r="D12" s="18" t="s">
        <v>18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8" t="s">
        <v>19</v>
      </c>
      <c r="B13" s="18" t="s">
        <v>20</v>
      </c>
      <c r="C13" s="18" t="s">
        <v>21</v>
      </c>
      <c r="D13" s="18" t="s">
        <v>18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/>
      <c r="B14" s="19"/>
      <c r="C14" s="19"/>
    </row>
    <row r="15">
      <c r="A15" s="21" t="s">
        <v>22</v>
      </c>
      <c r="B15" s="22"/>
      <c r="C15" s="12"/>
      <c r="D15" s="13"/>
    </row>
    <row r="16">
      <c r="A16" s="17" t="s">
        <v>23</v>
      </c>
      <c r="B16" s="17" t="s">
        <v>24</v>
      </c>
      <c r="C16" s="17" t="s">
        <v>25</v>
      </c>
      <c r="D16" s="17" t="s">
        <v>26</v>
      </c>
    </row>
    <row r="17">
      <c r="A17" s="23">
        <v>51.0</v>
      </c>
      <c r="B17" s="24" t="s">
        <v>27</v>
      </c>
      <c r="C17" s="24" t="s">
        <v>28</v>
      </c>
      <c r="D17" s="25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0"/>
      <c r="B18" s="19"/>
      <c r="C18" s="19"/>
    </row>
    <row r="19">
      <c r="A19" s="3" t="s">
        <v>29</v>
      </c>
      <c r="B19" s="9"/>
    </row>
    <row r="20">
      <c r="B20" s="19"/>
      <c r="C20" s="26"/>
    </row>
    <row r="21">
      <c r="A21" s="27"/>
      <c r="B21" s="19"/>
      <c r="C21" s="19"/>
    </row>
    <row r="22">
      <c r="A22" s="3" t="s">
        <v>30</v>
      </c>
      <c r="B22" s="9"/>
      <c r="C22" s="9"/>
      <c r="D22" s="28"/>
      <c r="F22" s="29"/>
    </row>
    <row r="23">
      <c r="A23" s="30" t="s">
        <v>31</v>
      </c>
      <c r="B23" s="30" t="s">
        <v>32</v>
      </c>
      <c r="C23" s="30" t="s">
        <v>33</v>
      </c>
      <c r="D23" s="30" t="s">
        <v>34</v>
      </c>
    </row>
    <row r="24">
      <c r="A24" s="31" t="s">
        <v>35</v>
      </c>
      <c r="B24" s="32" t="s">
        <v>36</v>
      </c>
      <c r="C24" s="32" t="s">
        <v>37</v>
      </c>
      <c r="D24" s="33" t="s">
        <v>38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34" t="s">
        <v>39</v>
      </c>
      <c r="C25" s="35" t="s">
        <v>40</v>
      </c>
      <c r="D25" s="36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37"/>
      <c r="C26" s="35" t="s">
        <v>41</v>
      </c>
      <c r="D26" s="38"/>
    </row>
    <row r="27">
      <c r="B27" s="39"/>
      <c r="C27" s="35" t="s">
        <v>42</v>
      </c>
      <c r="D27" s="38"/>
    </row>
    <row r="28">
      <c r="B28" s="34" t="s">
        <v>43</v>
      </c>
      <c r="C28" s="35" t="s">
        <v>44</v>
      </c>
      <c r="D28" s="38"/>
    </row>
    <row r="29">
      <c r="B29" s="39"/>
      <c r="C29" s="35" t="s">
        <v>45</v>
      </c>
      <c r="D29" s="38"/>
    </row>
    <row r="30">
      <c r="B30" s="35" t="s">
        <v>46</v>
      </c>
      <c r="C30" s="35" t="s">
        <v>47</v>
      </c>
      <c r="D30" s="38"/>
    </row>
    <row r="31">
      <c r="B31" s="35" t="s">
        <v>48</v>
      </c>
      <c r="C31" s="35" t="s">
        <v>49</v>
      </c>
      <c r="D31" s="38"/>
    </row>
    <row r="32">
      <c r="A32" s="40"/>
      <c r="B32" s="35" t="s">
        <v>50</v>
      </c>
      <c r="C32" s="35" t="s">
        <v>51</v>
      </c>
      <c r="D32" s="38"/>
    </row>
    <row r="33">
      <c r="A33" s="27"/>
      <c r="B33" s="19"/>
      <c r="C33" s="19"/>
    </row>
    <row r="34">
      <c r="A34" s="27"/>
      <c r="B34" s="19"/>
      <c r="C34" s="19"/>
    </row>
    <row r="35">
      <c r="A35" s="27"/>
      <c r="B35" s="19"/>
      <c r="C35" s="19"/>
    </row>
    <row r="36">
      <c r="A36" s="27"/>
      <c r="B36" s="19"/>
      <c r="C36" s="19"/>
    </row>
    <row r="37">
      <c r="A37" s="27"/>
      <c r="B37" s="19"/>
      <c r="C37" s="19"/>
    </row>
    <row r="38">
      <c r="A38" s="27"/>
      <c r="B38" s="19"/>
      <c r="C38" s="19"/>
    </row>
    <row r="39">
      <c r="A39" s="27"/>
      <c r="B39" s="19"/>
      <c r="C39" s="19"/>
    </row>
    <row r="40">
      <c r="A40" s="27"/>
      <c r="B40" s="19"/>
      <c r="C40" s="19"/>
    </row>
    <row r="41">
      <c r="A41" s="27"/>
      <c r="B41" s="19"/>
      <c r="C41" s="19"/>
    </row>
    <row r="42">
      <c r="A42" s="27"/>
      <c r="B42" s="19"/>
      <c r="C42" s="19"/>
    </row>
    <row r="43">
      <c r="A43" s="27"/>
      <c r="B43" s="19"/>
      <c r="C43" s="19"/>
    </row>
    <row r="44">
      <c r="A44" s="27"/>
      <c r="B44" s="19"/>
      <c r="C44" s="19"/>
    </row>
    <row r="45">
      <c r="A45" s="27"/>
      <c r="B45" s="19"/>
      <c r="C45" s="19"/>
    </row>
    <row r="46">
      <c r="A46" s="27"/>
      <c r="B46" s="19"/>
      <c r="C46" s="19"/>
    </row>
    <row r="47">
      <c r="A47" s="27"/>
      <c r="B47" s="19"/>
      <c r="C47" s="19"/>
    </row>
    <row r="48">
      <c r="A48" s="27"/>
      <c r="B48" s="19"/>
      <c r="C48" s="19"/>
    </row>
    <row r="49">
      <c r="A49" s="27"/>
      <c r="B49" s="19"/>
      <c r="C49" s="19"/>
    </row>
    <row r="50">
      <c r="A50" s="27"/>
      <c r="B50" s="19"/>
      <c r="C50" s="19"/>
    </row>
    <row r="51">
      <c r="A51" s="27"/>
      <c r="B51" s="19"/>
      <c r="C51" s="19"/>
    </row>
    <row r="52">
      <c r="A52" s="27"/>
      <c r="B52" s="19"/>
      <c r="C52" s="19"/>
    </row>
    <row r="53">
      <c r="A53" s="27"/>
      <c r="B53" s="19"/>
      <c r="C53" s="19"/>
    </row>
    <row r="54">
      <c r="A54" s="27"/>
      <c r="B54" s="19"/>
      <c r="C54" s="19"/>
    </row>
    <row r="55">
      <c r="A55" s="27"/>
      <c r="B55" s="19"/>
      <c r="C55" s="19"/>
    </row>
    <row r="56">
      <c r="A56" s="27"/>
      <c r="B56" s="19"/>
      <c r="C56" s="19"/>
    </row>
    <row r="57">
      <c r="A57" s="27"/>
      <c r="B57" s="19"/>
      <c r="C57" s="19"/>
    </row>
    <row r="58">
      <c r="A58" s="27"/>
      <c r="B58" s="19"/>
      <c r="C58" s="19"/>
    </row>
    <row r="59">
      <c r="A59" s="27"/>
      <c r="B59" s="19"/>
      <c r="C59" s="19"/>
    </row>
    <row r="60">
      <c r="A60" s="27"/>
      <c r="B60" s="19"/>
      <c r="C60" s="19"/>
    </row>
    <row r="61">
      <c r="A61" s="27"/>
      <c r="B61" s="19"/>
      <c r="C61" s="19"/>
    </row>
    <row r="62">
      <c r="A62" s="27"/>
      <c r="B62" s="19"/>
      <c r="C62" s="19"/>
    </row>
    <row r="63">
      <c r="A63" s="27"/>
      <c r="B63" s="19"/>
      <c r="C63" s="19"/>
    </row>
    <row r="64">
      <c r="A64" s="27"/>
      <c r="B64" s="19"/>
      <c r="C64" s="19"/>
    </row>
    <row r="65">
      <c r="A65" s="27"/>
      <c r="B65" s="19"/>
      <c r="C65" s="19"/>
    </row>
    <row r="66">
      <c r="A66" s="27"/>
      <c r="B66" s="19"/>
      <c r="C66" s="19"/>
    </row>
    <row r="67">
      <c r="A67" s="27"/>
      <c r="B67" s="19"/>
      <c r="C67" s="19"/>
    </row>
    <row r="68">
      <c r="A68" s="27"/>
      <c r="B68" s="19"/>
      <c r="C68" s="19"/>
    </row>
    <row r="69">
      <c r="A69" s="27"/>
      <c r="B69" s="19"/>
      <c r="C69" s="19"/>
    </row>
    <row r="70">
      <c r="A70" s="27"/>
      <c r="B70" s="19"/>
      <c r="C70" s="19"/>
    </row>
    <row r="71">
      <c r="A71" s="27"/>
      <c r="B71" s="19"/>
      <c r="C71" s="19"/>
    </row>
    <row r="72">
      <c r="A72" s="27"/>
      <c r="B72" s="19"/>
      <c r="C72" s="19"/>
    </row>
    <row r="73">
      <c r="A73" s="27"/>
      <c r="B73" s="19"/>
      <c r="C73" s="19"/>
    </row>
    <row r="74">
      <c r="A74" s="27"/>
      <c r="B74" s="19"/>
      <c r="C74" s="19"/>
    </row>
    <row r="75">
      <c r="A75" s="27"/>
      <c r="B75" s="19"/>
      <c r="C75" s="19"/>
    </row>
    <row r="76">
      <c r="A76" s="27"/>
      <c r="B76" s="19"/>
      <c r="C76" s="19"/>
    </row>
    <row r="77">
      <c r="A77" s="27"/>
      <c r="B77" s="19"/>
      <c r="C77" s="19"/>
    </row>
    <row r="78">
      <c r="A78" s="27"/>
      <c r="B78" s="19"/>
      <c r="C78" s="19"/>
    </row>
    <row r="79">
      <c r="A79" s="27"/>
      <c r="B79" s="19"/>
      <c r="C79" s="19"/>
    </row>
    <row r="80">
      <c r="A80" s="27"/>
      <c r="B80" s="19"/>
      <c r="C80" s="19"/>
    </row>
    <row r="81">
      <c r="A81" s="27"/>
      <c r="B81" s="19"/>
      <c r="C81" s="19"/>
    </row>
    <row r="82">
      <c r="A82" s="27"/>
      <c r="B82" s="19"/>
      <c r="C82" s="19"/>
    </row>
    <row r="83">
      <c r="A83" s="27"/>
      <c r="B83" s="19"/>
      <c r="C83" s="19"/>
    </row>
    <row r="84">
      <c r="A84" s="27"/>
      <c r="B84" s="19"/>
      <c r="C84" s="19"/>
    </row>
    <row r="85">
      <c r="A85" s="27"/>
      <c r="B85" s="19"/>
      <c r="C85" s="19"/>
    </row>
    <row r="86">
      <c r="A86" s="27"/>
      <c r="B86" s="19"/>
      <c r="C86" s="19"/>
    </row>
    <row r="87">
      <c r="A87" s="27"/>
      <c r="B87" s="19"/>
      <c r="C87" s="19"/>
    </row>
    <row r="88">
      <c r="A88" s="27"/>
      <c r="B88" s="19"/>
      <c r="C88" s="19"/>
    </row>
    <row r="89">
      <c r="A89" s="27"/>
      <c r="B89" s="19"/>
      <c r="C89" s="19"/>
    </row>
    <row r="90">
      <c r="A90" s="27"/>
      <c r="B90" s="19"/>
      <c r="C90" s="19"/>
    </row>
    <row r="91">
      <c r="A91" s="27"/>
      <c r="B91" s="19"/>
      <c r="C91" s="19"/>
    </row>
    <row r="92">
      <c r="A92" s="27"/>
      <c r="B92" s="19"/>
      <c r="C92" s="19"/>
    </row>
    <row r="93">
      <c r="A93" s="27"/>
      <c r="B93" s="19"/>
      <c r="C93" s="19"/>
    </row>
    <row r="94">
      <c r="A94" s="27"/>
      <c r="B94" s="19"/>
      <c r="C94" s="19"/>
    </row>
    <row r="95">
      <c r="A95" s="27"/>
      <c r="B95" s="19"/>
      <c r="C95" s="19"/>
    </row>
    <row r="96">
      <c r="A96" s="27"/>
      <c r="B96" s="19"/>
      <c r="C96" s="19"/>
    </row>
    <row r="97">
      <c r="A97" s="27"/>
      <c r="B97" s="19"/>
      <c r="C97" s="19"/>
    </row>
    <row r="98">
      <c r="A98" s="27"/>
      <c r="B98" s="19"/>
      <c r="C98" s="19"/>
    </row>
    <row r="99">
      <c r="A99" s="27"/>
      <c r="B99" s="19"/>
      <c r="C99" s="19"/>
    </row>
    <row r="100">
      <c r="A100" s="27"/>
      <c r="B100" s="19"/>
      <c r="C100" s="19"/>
    </row>
    <row r="101">
      <c r="A101" s="27"/>
      <c r="B101" s="19"/>
      <c r="C101" s="19"/>
    </row>
    <row r="102">
      <c r="A102" s="27"/>
      <c r="B102" s="19"/>
      <c r="C102" s="19"/>
    </row>
    <row r="103">
      <c r="A103" s="27"/>
      <c r="B103" s="19"/>
      <c r="C103" s="19"/>
    </row>
    <row r="104">
      <c r="A104" s="27"/>
      <c r="B104" s="19"/>
      <c r="C104" s="19"/>
    </row>
    <row r="105">
      <c r="A105" s="27"/>
      <c r="B105" s="19"/>
      <c r="C105" s="19"/>
    </row>
    <row r="106">
      <c r="A106" s="27"/>
      <c r="B106" s="19"/>
      <c r="C106" s="19"/>
    </row>
    <row r="107">
      <c r="A107" s="27"/>
      <c r="B107" s="19"/>
      <c r="C107" s="19"/>
    </row>
    <row r="108">
      <c r="A108" s="27"/>
      <c r="B108" s="19"/>
      <c r="C108" s="19"/>
    </row>
    <row r="109">
      <c r="A109" s="27"/>
      <c r="B109" s="19"/>
      <c r="C109" s="19"/>
    </row>
    <row r="110">
      <c r="A110" s="27"/>
      <c r="B110" s="19"/>
      <c r="C110" s="19"/>
    </row>
    <row r="111">
      <c r="A111" s="27"/>
      <c r="B111" s="19"/>
      <c r="C111" s="19"/>
    </row>
    <row r="112">
      <c r="A112" s="27"/>
      <c r="B112" s="19"/>
      <c r="C112" s="19"/>
    </row>
    <row r="113">
      <c r="A113" s="27"/>
      <c r="B113" s="19"/>
      <c r="C113" s="19"/>
    </row>
    <row r="114">
      <c r="A114" s="27"/>
      <c r="B114" s="19"/>
      <c r="C114" s="19"/>
    </row>
    <row r="115">
      <c r="A115" s="27"/>
      <c r="B115" s="19"/>
      <c r="C115" s="19"/>
    </row>
    <row r="116">
      <c r="A116" s="27"/>
      <c r="B116" s="19"/>
      <c r="C116" s="19"/>
    </row>
    <row r="117">
      <c r="A117" s="27"/>
      <c r="B117" s="19"/>
      <c r="C117" s="19"/>
    </row>
    <row r="118">
      <c r="A118" s="27"/>
      <c r="B118" s="19"/>
      <c r="C118" s="19"/>
    </row>
    <row r="119">
      <c r="A119" s="27"/>
      <c r="B119" s="19"/>
      <c r="C119" s="19"/>
    </row>
    <row r="120">
      <c r="A120" s="27"/>
      <c r="B120" s="19"/>
      <c r="C120" s="19"/>
    </row>
    <row r="121">
      <c r="A121" s="27"/>
      <c r="B121" s="19"/>
      <c r="C121" s="19"/>
    </row>
    <row r="122">
      <c r="A122" s="27"/>
      <c r="B122" s="19"/>
      <c r="C122" s="19"/>
    </row>
    <row r="123">
      <c r="A123" s="27"/>
      <c r="B123" s="19"/>
      <c r="C123" s="19"/>
    </row>
    <row r="124">
      <c r="A124" s="27"/>
      <c r="B124" s="19"/>
      <c r="C124" s="19"/>
    </row>
    <row r="125">
      <c r="A125" s="27"/>
      <c r="B125" s="19"/>
      <c r="C125" s="19"/>
    </row>
    <row r="126">
      <c r="A126" s="27"/>
      <c r="B126" s="19"/>
      <c r="C126" s="19"/>
    </row>
    <row r="127">
      <c r="A127" s="27"/>
      <c r="B127" s="19"/>
      <c r="C127" s="19"/>
    </row>
    <row r="128">
      <c r="A128" s="27"/>
      <c r="B128" s="19"/>
      <c r="C128" s="19"/>
    </row>
    <row r="129">
      <c r="A129" s="27"/>
      <c r="B129" s="19"/>
      <c r="C129" s="19"/>
    </row>
    <row r="130">
      <c r="A130" s="27"/>
      <c r="B130" s="19"/>
      <c r="C130" s="19"/>
    </row>
    <row r="131">
      <c r="A131" s="27"/>
      <c r="B131" s="19"/>
      <c r="C131" s="19"/>
    </row>
    <row r="132">
      <c r="A132" s="27"/>
      <c r="B132" s="19"/>
      <c r="C132" s="19"/>
    </row>
    <row r="133">
      <c r="A133" s="27"/>
      <c r="B133" s="19"/>
      <c r="C133" s="19"/>
    </row>
    <row r="134">
      <c r="A134" s="27"/>
      <c r="B134" s="19"/>
      <c r="C134" s="19"/>
    </row>
    <row r="135">
      <c r="A135" s="27"/>
      <c r="B135" s="19"/>
      <c r="C135" s="19"/>
    </row>
    <row r="136">
      <c r="A136" s="27"/>
      <c r="B136" s="19"/>
      <c r="C136" s="19"/>
    </row>
    <row r="137">
      <c r="A137" s="27"/>
      <c r="B137" s="19"/>
      <c r="C137" s="19"/>
    </row>
    <row r="138">
      <c r="A138" s="27"/>
      <c r="B138" s="19"/>
      <c r="C138" s="19"/>
    </row>
    <row r="139">
      <c r="A139" s="27"/>
      <c r="B139" s="19"/>
      <c r="C139" s="19"/>
    </row>
    <row r="140">
      <c r="A140" s="27"/>
      <c r="B140" s="19"/>
      <c r="C140" s="19"/>
    </row>
    <row r="141">
      <c r="A141" s="27"/>
      <c r="B141" s="19"/>
      <c r="C141" s="19"/>
    </row>
    <row r="142">
      <c r="A142" s="27"/>
      <c r="B142" s="19"/>
      <c r="C142" s="19"/>
    </row>
    <row r="143">
      <c r="A143" s="27"/>
      <c r="B143" s="19"/>
      <c r="C143" s="19"/>
    </row>
    <row r="144">
      <c r="A144" s="27"/>
      <c r="B144" s="19"/>
      <c r="C144" s="19"/>
    </row>
    <row r="145">
      <c r="A145" s="27"/>
      <c r="B145" s="19"/>
      <c r="C145" s="19"/>
    </row>
    <row r="146">
      <c r="A146" s="27"/>
      <c r="B146" s="19"/>
      <c r="C146" s="19"/>
    </row>
    <row r="147">
      <c r="A147" s="27"/>
      <c r="B147" s="19"/>
      <c r="C147" s="19"/>
    </row>
    <row r="148">
      <c r="A148" s="27"/>
      <c r="B148" s="19"/>
      <c r="C148" s="19"/>
    </row>
    <row r="149">
      <c r="A149" s="27"/>
      <c r="B149" s="19"/>
      <c r="C149" s="19"/>
    </row>
    <row r="150">
      <c r="A150" s="27"/>
      <c r="B150" s="19"/>
      <c r="C150" s="19"/>
    </row>
    <row r="151">
      <c r="A151" s="27"/>
      <c r="B151" s="19"/>
      <c r="C151" s="19"/>
    </row>
    <row r="152">
      <c r="A152" s="27"/>
      <c r="B152" s="19"/>
      <c r="C152" s="19"/>
    </row>
    <row r="153">
      <c r="A153" s="27"/>
      <c r="B153" s="19"/>
      <c r="C153" s="19"/>
    </row>
    <row r="154">
      <c r="A154" s="27"/>
      <c r="B154" s="19"/>
      <c r="C154" s="19"/>
    </row>
    <row r="155">
      <c r="A155" s="27"/>
      <c r="B155" s="19"/>
      <c r="C155" s="19"/>
    </row>
    <row r="156">
      <c r="A156" s="27"/>
      <c r="B156" s="19"/>
      <c r="C156" s="19"/>
    </row>
    <row r="157">
      <c r="A157" s="27"/>
      <c r="B157" s="19"/>
      <c r="C157" s="19"/>
    </row>
    <row r="158">
      <c r="A158" s="27"/>
      <c r="B158" s="19"/>
      <c r="C158" s="19"/>
    </row>
    <row r="159">
      <c r="A159" s="27"/>
      <c r="B159" s="19"/>
      <c r="C159" s="19"/>
    </row>
    <row r="160">
      <c r="A160" s="27"/>
      <c r="B160" s="19"/>
      <c r="C160" s="19"/>
    </row>
    <row r="161">
      <c r="A161" s="27"/>
      <c r="B161" s="19"/>
      <c r="C161" s="19"/>
    </row>
    <row r="162">
      <c r="A162" s="27"/>
      <c r="B162" s="19"/>
      <c r="C162" s="19"/>
    </row>
    <row r="163">
      <c r="A163" s="27"/>
      <c r="B163" s="19"/>
      <c r="C163" s="19"/>
    </row>
    <row r="164">
      <c r="A164" s="27"/>
      <c r="B164" s="19"/>
      <c r="C164" s="19"/>
    </row>
    <row r="165">
      <c r="A165" s="27"/>
      <c r="B165" s="19"/>
      <c r="C165" s="19"/>
    </row>
    <row r="166">
      <c r="A166" s="27"/>
      <c r="B166" s="19"/>
      <c r="C166" s="19"/>
    </row>
    <row r="167">
      <c r="A167" s="27"/>
      <c r="B167" s="19"/>
      <c r="C167" s="19"/>
    </row>
    <row r="168">
      <c r="A168" s="27"/>
      <c r="B168" s="19"/>
      <c r="C168" s="19"/>
    </row>
    <row r="169">
      <c r="A169" s="27"/>
      <c r="B169" s="19"/>
      <c r="C169" s="19"/>
    </row>
    <row r="170">
      <c r="A170" s="27"/>
      <c r="B170" s="19"/>
      <c r="C170" s="19"/>
    </row>
    <row r="171">
      <c r="A171" s="27"/>
      <c r="B171" s="19"/>
      <c r="C171" s="19"/>
    </row>
    <row r="172">
      <c r="A172" s="27"/>
      <c r="B172" s="19"/>
      <c r="C172" s="19"/>
    </row>
    <row r="173">
      <c r="A173" s="27"/>
      <c r="B173" s="19"/>
      <c r="C173" s="19"/>
    </row>
    <row r="174">
      <c r="A174" s="27"/>
      <c r="B174" s="19"/>
      <c r="C174" s="19"/>
    </row>
    <row r="175">
      <c r="A175" s="27"/>
      <c r="B175" s="19"/>
      <c r="C175" s="19"/>
    </row>
    <row r="176">
      <c r="A176" s="27"/>
      <c r="B176" s="19"/>
      <c r="C176" s="19"/>
    </row>
    <row r="177">
      <c r="A177" s="27"/>
      <c r="B177" s="19"/>
      <c r="C177" s="19"/>
    </row>
    <row r="178">
      <c r="A178" s="27"/>
      <c r="B178" s="19"/>
      <c r="C178" s="19"/>
    </row>
    <row r="179">
      <c r="A179" s="27"/>
      <c r="B179" s="19"/>
      <c r="C179" s="19"/>
    </row>
    <row r="180">
      <c r="A180" s="27"/>
      <c r="B180" s="19"/>
      <c r="C180" s="19"/>
    </row>
    <row r="181">
      <c r="A181" s="27"/>
      <c r="B181" s="19"/>
      <c r="C181" s="19"/>
    </row>
    <row r="182">
      <c r="A182" s="27"/>
      <c r="B182" s="19"/>
      <c r="C182" s="19"/>
    </row>
    <row r="183">
      <c r="A183" s="27"/>
      <c r="B183" s="19"/>
      <c r="C183" s="19"/>
    </row>
    <row r="184">
      <c r="A184" s="27"/>
      <c r="B184" s="19"/>
      <c r="C184" s="19"/>
    </row>
    <row r="185">
      <c r="A185" s="27"/>
      <c r="B185" s="19"/>
      <c r="C185" s="19"/>
    </row>
    <row r="186">
      <c r="A186" s="27"/>
      <c r="B186" s="19"/>
      <c r="C186" s="19"/>
    </row>
    <row r="187">
      <c r="A187" s="27"/>
      <c r="B187" s="19"/>
      <c r="C187" s="19"/>
    </row>
    <row r="188">
      <c r="A188" s="27"/>
      <c r="B188" s="19"/>
      <c r="C188" s="19"/>
    </row>
    <row r="189">
      <c r="A189" s="27"/>
      <c r="B189" s="19"/>
      <c r="C189" s="19"/>
    </row>
    <row r="190">
      <c r="A190" s="27"/>
      <c r="B190" s="19"/>
      <c r="C190" s="19"/>
    </row>
    <row r="191">
      <c r="A191" s="27"/>
      <c r="B191" s="19"/>
      <c r="C191" s="19"/>
    </row>
    <row r="192">
      <c r="A192" s="27"/>
      <c r="B192" s="19"/>
      <c r="C192" s="19"/>
    </row>
    <row r="193">
      <c r="A193" s="27"/>
      <c r="B193" s="19"/>
      <c r="C193" s="19"/>
    </row>
    <row r="194">
      <c r="A194" s="27"/>
      <c r="B194" s="19"/>
      <c r="C194" s="19"/>
    </row>
    <row r="195">
      <c r="A195" s="27"/>
      <c r="B195" s="19"/>
      <c r="C195" s="19"/>
    </row>
    <row r="196">
      <c r="A196" s="27"/>
      <c r="B196" s="19"/>
      <c r="C196" s="19"/>
    </row>
    <row r="197">
      <c r="A197" s="27"/>
      <c r="B197" s="19"/>
      <c r="C197" s="19"/>
    </row>
    <row r="198">
      <c r="A198" s="27"/>
      <c r="B198" s="19"/>
      <c r="C198" s="19"/>
    </row>
    <row r="199">
      <c r="A199" s="27"/>
      <c r="B199" s="19"/>
      <c r="C199" s="19"/>
    </row>
    <row r="200">
      <c r="A200" s="27"/>
      <c r="B200" s="19"/>
      <c r="C200" s="19"/>
    </row>
    <row r="201">
      <c r="A201" s="27"/>
      <c r="B201" s="19"/>
      <c r="C201" s="19"/>
    </row>
    <row r="202">
      <c r="A202" s="27"/>
      <c r="B202" s="19"/>
      <c r="C202" s="19"/>
    </row>
    <row r="203">
      <c r="A203" s="27"/>
      <c r="B203" s="19"/>
      <c r="C203" s="19"/>
    </row>
    <row r="204">
      <c r="A204" s="27"/>
      <c r="B204" s="19"/>
      <c r="C204" s="19"/>
    </row>
    <row r="205">
      <c r="A205" s="27"/>
      <c r="B205" s="19"/>
      <c r="C205" s="19"/>
    </row>
    <row r="206">
      <c r="A206" s="27"/>
      <c r="B206" s="19"/>
      <c r="C206" s="19"/>
    </row>
    <row r="207">
      <c r="A207" s="27"/>
      <c r="B207" s="19"/>
      <c r="C207" s="19"/>
    </row>
    <row r="208">
      <c r="A208" s="27"/>
      <c r="B208" s="19"/>
      <c r="C208" s="19"/>
    </row>
    <row r="209">
      <c r="A209" s="27"/>
      <c r="B209" s="19"/>
      <c r="C209" s="19"/>
    </row>
    <row r="210">
      <c r="A210" s="27"/>
      <c r="B210" s="19"/>
      <c r="C210" s="19"/>
    </row>
    <row r="211">
      <c r="A211" s="27"/>
      <c r="B211" s="19"/>
      <c r="C211" s="19"/>
    </row>
    <row r="212">
      <c r="A212" s="27"/>
      <c r="B212" s="19"/>
      <c r="C212" s="19"/>
    </row>
    <row r="213">
      <c r="A213" s="27"/>
      <c r="B213" s="19"/>
      <c r="C213" s="19"/>
    </row>
    <row r="214">
      <c r="A214" s="27"/>
      <c r="B214" s="19"/>
      <c r="C214" s="19"/>
    </row>
    <row r="215">
      <c r="A215" s="27"/>
      <c r="B215" s="19"/>
      <c r="C215" s="19"/>
    </row>
    <row r="216">
      <c r="A216" s="27"/>
      <c r="B216" s="19"/>
      <c r="C216" s="19"/>
    </row>
    <row r="217">
      <c r="A217" s="27"/>
      <c r="B217" s="19"/>
      <c r="C217" s="19"/>
    </row>
    <row r="218">
      <c r="A218" s="27"/>
      <c r="B218" s="19"/>
      <c r="C218" s="19"/>
    </row>
    <row r="219">
      <c r="A219" s="27"/>
      <c r="B219" s="19"/>
      <c r="C219" s="19"/>
    </row>
    <row r="220">
      <c r="A220" s="27"/>
      <c r="B220" s="19"/>
      <c r="C220" s="19"/>
    </row>
    <row r="221">
      <c r="A221" s="27"/>
      <c r="B221" s="19"/>
      <c r="C221" s="19"/>
    </row>
    <row r="222">
      <c r="A222" s="27"/>
      <c r="B222" s="19"/>
      <c r="C222" s="19"/>
    </row>
    <row r="223">
      <c r="A223" s="27"/>
      <c r="B223" s="19"/>
      <c r="C223" s="19"/>
    </row>
    <row r="224">
      <c r="A224" s="27"/>
      <c r="B224" s="19"/>
      <c r="C224" s="19"/>
    </row>
    <row r="225">
      <c r="A225" s="27"/>
      <c r="B225" s="19"/>
      <c r="C225" s="19"/>
    </row>
    <row r="226">
      <c r="A226" s="27"/>
      <c r="B226" s="19"/>
      <c r="C226" s="19"/>
    </row>
    <row r="227">
      <c r="A227" s="27"/>
      <c r="B227" s="19"/>
      <c r="C227" s="19"/>
    </row>
    <row r="228">
      <c r="A228" s="27"/>
      <c r="B228" s="19"/>
      <c r="C228" s="19"/>
    </row>
    <row r="229">
      <c r="A229" s="27"/>
      <c r="B229" s="19"/>
      <c r="C229" s="19"/>
    </row>
    <row r="230">
      <c r="A230" s="27"/>
      <c r="B230" s="19"/>
      <c r="C230" s="19"/>
    </row>
    <row r="231">
      <c r="A231" s="27"/>
      <c r="B231" s="19"/>
      <c r="C231" s="19"/>
    </row>
    <row r="232">
      <c r="A232" s="27"/>
      <c r="B232" s="19"/>
      <c r="C232" s="19"/>
    </row>
    <row r="233">
      <c r="A233" s="27"/>
      <c r="B233" s="19"/>
      <c r="C233" s="19"/>
    </row>
    <row r="234">
      <c r="A234" s="27"/>
      <c r="B234" s="19"/>
      <c r="C234" s="19"/>
    </row>
    <row r="235">
      <c r="A235" s="27"/>
      <c r="B235" s="19"/>
      <c r="C235" s="19"/>
    </row>
    <row r="236">
      <c r="A236" s="27"/>
      <c r="B236" s="19"/>
      <c r="C236" s="19"/>
    </row>
    <row r="237">
      <c r="A237" s="27"/>
      <c r="B237" s="19"/>
      <c r="C237" s="19"/>
    </row>
    <row r="238">
      <c r="A238" s="27"/>
      <c r="B238" s="19"/>
      <c r="C238" s="19"/>
    </row>
    <row r="239">
      <c r="A239" s="27"/>
      <c r="B239" s="19"/>
      <c r="C239" s="19"/>
    </row>
    <row r="240">
      <c r="A240" s="27"/>
      <c r="B240" s="19"/>
      <c r="C240" s="19"/>
    </row>
    <row r="241">
      <c r="A241" s="27"/>
      <c r="B241" s="19"/>
      <c r="C241" s="19"/>
    </row>
    <row r="242">
      <c r="A242" s="27"/>
      <c r="B242" s="19"/>
      <c r="C242" s="19"/>
    </row>
    <row r="243">
      <c r="A243" s="27"/>
      <c r="B243" s="19"/>
      <c r="C243" s="19"/>
    </row>
    <row r="244">
      <c r="A244" s="27"/>
      <c r="B244" s="19"/>
      <c r="C244" s="19"/>
    </row>
    <row r="245">
      <c r="A245" s="27"/>
      <c r="B245" s="19"/>
      <c r="C245" s="19"/>
    </row>
    <row r="246">
      <c r="A246" s="27"/>
      <c r="B246" s="19"/>
      <c r="C246" s="19"/>
    </row>
    <row r="247">
      <c r="A247" s="27"/>
      <c r="B247" s="19"/>
      <c r="C247" s="19"/>
    </row>
    <row r="248">
      <c r="A248" s="27"/>
      <c r="B248" s="19"/>
      <c r="C248" s="19"/>
    </row>
    <row r="249">
      <c r="A249" s="27"/>
      <c r="B249" s="19"/>
      <c r="C249" s="19"/>
    </row>
    <row r="250">
      <c r="A250" s="27"/>
      <c r="B250" s="19"/>
      <c r="C250" s="19"/>
    </row>
    <row r="251">
      <c r="A251" s="27"/>
      <c r="B251" s="19"/>
      <c r="C251" s="19"/>
    </row>
    <row r="252">
      <c r="A252" s="27"/>
      <c r="B252" s="19"/>
      <c r="C252" s="19"/>
    </row>
    <row r="253">
      <c r="A253" s="27"/>
      <c r="B253" s="19"/>
      <c r="C253" s="19"/>
    </row>
    <row r="254">
      <c r="A254" s="27"/>
      <c r="B254" s="19"/>
      <c r="C254" s="19"/>
    </row>
    <row r="255">
      <c r="A255" s="27"/>
      <c r="B255" s="19"/>
      <c r="C255" s="19"/>
    </row>
    <row r="256">
      <c r="A256" s="27"/>
      <c r="B256" s="19"/>
      <c r="C256" s="19"/>
    </row>
    <row r="257">
      <c r="A257" s="27"/>
      <c r="B257" s="19"/>
      <c r="C257" s="19"/>
    </row>
    <row r="258">
      <c r="A258" s="27"/>
      <c r="B258" s="19"/>
      <c r="C258" s="19"/>
    </row>
    <row r="259">
      <c r="A259" s="27"/>
      <c r="B259" s="19"/>
      <c r="C259" s="19"/>
    </row>
    <row r="260">
      <c r="A260" s="27"/>
      <c r="B260" s="19"/>
      <c r="C260" s="19"/>
    </row>
    <row r="261">
      <c r="A261" s="27"/>
      <c r="B261" s="19"/>
      <c r="C261" s="19"/>
    </row>
    <row r="262">
      <c r="A262" s="27"/>
      <c r="B262" s="19"/>
      <c r="C262" s="19"/>
    </row>
    <row r="263">
      <c r="A263" s="27"/>
      <c r="B263" s="19"/>
      <c r="C263" s="19"/>
    </row>
    <row r="264">
      <c r="A264" s="27"/>
      <c r="B264" s="19"/>
      <c r="C264" s="19"/>
    </row>
    <row r="265">
      <c r="A265" s="27"/>
      <c r="B265" s="19"/>
      <c r="C265" s="19"/>
    </row>
    <row r="266">
      <c r="A266" s="27"/>
      <c r="B266" s="19"/>
      <c r="C266" s="19"/>
    </row>
    <row r="267">
      <c r="A267" s="27"/>
      <c r="B267" s="19"/>
      <c r="C267" s="19"/>
    </row>
    <row r="268">
      <c r="A268" s="27"/>
      <c r="B268" s="19"/>
      <c r="C268" s="19"/>
    </row>
    <row r="269">
      <c r="A269" s="27"/>
      <c r="B269" s="19"/>
      <c r="C269" s="19"/>
    </row>
    <row r="270">
      <c r="A270" s="27"/>
      <c r="B270" s="19"/>
      <c r="C270" s="19"/>
    </row>
    <row r="271">
      <c r="A271" s="27"/>
      <c r="B271" s="19"/>
      <c r="C271" s="19"/>
    </row>
    <row r="272">
      <c r="A272" s="27"/>
      <c r="B272" s="19"/>
      <c r="C272" s="19"/>
    </row>
    <row r="273">
      <c r="A273" s="27"/>
      <c r="B273" s="19"/>
      <c r="C273" s="19"/>
    </row>
    <row r="274">
      <c r="A274" s="27"/>
      <c r="B274" s="19"/>
      <c r="C274" s="19"/>
    </row>
    <row r="275">
      <c r="A275" s="27"/>
      <c r="B275" s="19"/>
      <c r="C275" s="19"/>
    </row>
    <row r="276">
      <c r="A276" s="27"/>
      <c r="B276" s="19"/>
      <c r="C276" s="19"/>
    </row>
    <row r="277">
      <c r="A277" s="27"/>
      <c r="B277" s="19"/>
      <c r="C277" s="19"/>
    </row>
    <row r="278">
      <c r="A278" s="27"/>
      <c r="B278" s="19"/>
      <c r="C278" s="19"/>
    </row>
    <row r="279">
      <c r="A279" s="27"/>
      <c r="B279" s="19"/>
      <c r="C279" s="19"/>
    </row>
    <row r="280">
      <c r="A280" s="27"/>
      <c r="B280" s="19"/>
      <c r="C280" s="19"/>
    </row>
    <row r="281">
      <c r="A281" s="27"/>
      <c r="B281" s="19"/>
      <c r="C281" s="19"/>
    </row>
    <row r="282">
      <c r="A282" s="27"/>
      <c r="B282" s="19"/>
      <c r="C282" s="19"/>
    </row>
    <row r="283">
      <c r="A283" s="27"/>
      <c r="B283" s="19"/>
      <c r="C283" s="19"/>
    </row>
    <row r="284">
      <c r="A284" s="27"/>
      <c r="B284" s="19"/>
      <c r="C284" s="19"/>
    </row>
    <row r="285">
      <c r="A285" s="27"/>
      <c r="B285" s="19"/>
      <c r="C285" s="19"/>
    </row>
    <row r="286">
      <c r="A286" s="27"/>
      <c r="B286" s="19"/>
      <c r="C286" s="19"/>
    </row>
    <row r="287">
      <c r="A287" s="27"/>
      <c r="B287" s="19"/>
      <c r="C287" s="19"/>
    </row>
    <row r="288">
      <c r="A288" s="27"/>
      <c r="B288" s="19"/>
      <c r="C288" s="19"/>
    </row>
    <row r="289">
      <c r="A289" s="27"/>
      <c r="B289" s="19"/>
      <c r="C289" s="19"/>
    </row>
    <row r="290">
      <c r="A290" s="27"/>
      <c r="B290" s="19"/>
      <c r="C290" s="19"/>
    </row>
    <row r="291">
      <c r="A291" s="27"/>
      <c r="B291" s="19"/>
      <c r="C291" s="19"/>
    </row>
    <row r="292">
      <c r="A292" s="27"/>
      <c r="B292" s="19"/>
      <c r="C292" s="19"/>
    </row>
    <row r="293">
      <c r="A293" s="27"/>
      <c r="B293" s="19"/>
      <c r="C293" s="19"/>
    </row>
    <row r="294">
      <c r="A294" s="27"/>
      <c r="B294" s="19"/>
      <c r="C294" s="19"/>
    </row>
    <row r="295">
      <c r="A295" s="27"/>
      <c r="B295" s="19"/>
      <c r="C295" s="19"/>
    </row>
    <row r="296">
      <c r="A296" s="27"/>
      <c r="B296" s="19"/>
      <c r="C296" s="19"/>
    </row>
    <row r="297">
      <c r="A297" s="27"/>
      <c r="B297" s="19"/>
      <c r="C297" s="19"/>
    </row>
    <row r="298">
      <c r="A298" s="27"/>
      <c r="B298" s="19"/>
      <c r="C298" s="19"/>
    </row>
    <row r="299">
      <c r="A299" s="27"/>
      <c r="B299" s="19"/>
      <c r="C299" s="19"/>
    </row>
    <row r="300">
      <c r="A300" s="27"/>
      <c r="B300" s="19"/>
      <c r="C300" s="19"/>
    </row>
    <row r="301">
      <c r="A301" s="27"/>
      <c r="B301" s="19"/>
      <c r="C301" s="19"/>
    </row>
    <row r="302">
      <c r="A302" s="27"/>
      <c r="B302" s="19"/>
      <c r="C302" s="19"/>
    </row>
    <row r="303">
      <c r="A303" s="27"/>
      <c r="B303" s="19"/>
      <c r="C303" s="19"/>
    </row>
    <row r="304">
      <c r="A304" s="27"/>
      <c r="B304" s="19"/>
      <c r="C304" s="19"/>
    </row>
    <row r="305">
      <c r="A305" s="27"/>
      <c r="B305" s="19"/>
      <c r="C305" s="19"/>
    </row>
    <row r="306">
      <c r="A306" s="27"/>
      <c r="B306" s="19"/>
      <c r="C306" s="19"/>
    </row>
    <row r="307">
      <c r="A307" s="27"/>
      <c r="B307" s="19"/>
      <c r="C307" s="19"/>
    </row>
    <row r="308">
      <c r="A308" s="27"/>
      <c r="B308" s="19"/>
      <c r="C308" s="19"/>
    </row>
    <row r="309">
      <c r="A309" s="27"/>
      <c r="B309" s="19"/>
      <c r="C309" s="19"/>
    </row>
    <row r="310">
      <c r="A310" s="27"/>
      <c r="B310" s="19"/>
      <c r="C310" s="19"/>
    </row>
    <row r="311">
      <c r="A311" s="27"/>
      <c r="B311" s="19"/>
      <c r="C311" s="19"/>
    </row>
    <row r="312">
      <c r="A312" s="27"/>
      <c r="B312" s="19"/>
      <c r="C312" s="19"/>
    </row>
    <row r="313">
      <c r="A313" s="27"/>
      <c r="B313" s="19"/>
      <c r="C313" s="19"/>
    </row>
    <row r="314">
      <c r="A314" s="27"/>
      <c r="B314" s="19"/>
      <c r="C314" s="19"/>
    </row>
    <row r="315">
      <c r="A315" s="27"/>
      <c r="B315" s="19"/>
      <c r="C315" s="19"/>
    </row>
    <row r="316">
      <c r="A316" s="27"/>
      <c r="B316" s="19"/>
      <c r="C316" s="19"/>
    </row>
    <row r="317">
      <c r="A317" s="27"/>
      <c r="B317" s="19"/>
      <c r="C317" s="19"/>
    </row>
    <row r="318">
      <c r="A318" s="27"/>
      <c r="B318" s="19"/>
      <c r="C318" s="19"/>
    </row>
    <row r="319">
      <c r="A319" s="27"/>
      <c r="B319" s="19"/>
      <c r="C319" s="19"/>
    </row>
    <row r="320">
      <c r="A320" s="27"/>
      <c r="B320" s="19"/>
      <c r="C320" s="19"/>
    </row>
    <row r="321">
      <c r="A321" s="27"/>
      <c r="B321" s="19"/>
      <c r="C321" s="19"/>
    </row>
    <row r="322">
      <c r="A322" s="27"/>
      <c r="B322" s="19"/>
      <c r="C322" s="19"/>
    </row>
    <row r="323">
      <c r="A323" s="27"/>
      <c r="B323" s="19"/>
      <c r="C323" s="19"/>
    </row>
    <row r="324">
      <c r="A324" s="27"/>
      <c r="B324" s="19"/>
      <c r="C324" s="19"/>
    </row>
    <row r="325">
      <c r="A325" s="27"/>
      <c r="B325" s="19"/>
      <c r="C325" s="19"/>
    </row>
    <row r="326">
      <c r="A326" s="27"/>
      <c r="B326" s="19"/>
      <c r="C326" s="19"/>
    </row>
    <row r="327">
      <c r="A327" s="27"/>
      <c r="B327" s="19"/>
      <c r="C327" s="19"/>
    </row>
    <row r="328">
      <c r="A328" s="27"/>
      <c r="B328" s="19"/>
      <c r="C328" s="19"/>
    </row>
    <row r="329">
      <c r="A329" s="27"/>
      <c r="B329" s="19"/>
      <c r="C329" s="19"/>
    </row>
    <row r="330">
      <c r="A330" s="27"/>
      <c r="B330" s="19"/>
      <c r="C330" s="19"/>
    </row>
    <row r="331">
      <c r="A331" s="27"/>
      <c r="B331" s="19"/>
      <c r="C331" s="19"/>
    </row>
    <row r="332">
      <c r="A332" s="27"/>
      <c r="B332" s="19"/>
      <c r="C332" s="19"/>
    </row>
    <row r="333">
      <c r="A333" s="27"/>
      <c r="B333" s="19"/>
      <c r="C333" s="19"/>
    </row>
    <row r="334">
      <c r="A334" s="27"/>
      <c r="B334" s="19"/>
      <c r="C334" s="19"/>
    </row>
    <row r="335">
      <c r="A335" s="27"/>
      <c r="B335" s="19"/>
      <c r="C335" s="19"/>
    </row>
    <row r="336">
      <c r="A336" s="27"/>
      <c r="B336" s="19"/>
      <c r="C336" s="19"/>
    </row>
    <row r="337">
      <c r="A337" s="27"/>
      <c r="B337" s="19"/>
      <c r="C337" s="19"/>
    </row>
    <row r="338">
      <c r="A338" s="27"/>
      <c r="B338" s="19"/>
      <c r="C338" s="19"/>
    </row>
    <row r="339">
      <c r="A339" s="27"/>
      <c r="B339" s="19"/>
      <c r="C339" s="19"/>
    </row>
    <row r="340">
      <c r="A340" s="27"/>
      <c r="B340" s="19"/>
      <c r="C340" s="19"/>
    </row>
    <row r="341">
      <c r="A341" s="27"/>
      <c r="B341" s="19"/>
      <c r="C341" s="19"/>
    </row>
    <row r="342">
      <c r="A342" s="27"/>
      <c r="B342" s="19"/>
      <c r="C342" s="19"/>
    </row>
    <row r="343">
      <c r="A343" s="27"/>
      <c r="B343" s="19"/>
      <c r="C343" s="19"/>
    </row>
    <row r="344">
      <c r="A344" s="27"/>
      <c r="B344" s="19"/>
      <c r="C344" s="19"/>
    </row>
    <row r="345">
      <c r="A345" s="27"/>
      <c r="B345" s="19"/>
      <c r="C345" s="19"/>
    </row>
    <row r="346">
      <c r="A346" s="27"/>
      <c r="B346" s="19"/>
      <c r="C346" s="19"/>
    </row>
    <row r="347">
      <c r="A347" s="27"/>
      <c r="B347" s="19"/>
      <c r="C347" s="19"/>
    </row>
    <row r="348">
      <c r="A348" s="27"/>
      <c r="B348" s="19"/>
      <c r="C348" s="19"/>
    </row>
    <row r="349">
      <c r="A349" s="27"/>
      <c r="B349" s="19"/>
      <c r="C349" s="19"/>
    </row>
    <row r="350">
      <c r="A350" s="27"/>
      <c r="B350" s="19"/>
      <c r="C350" s="19"/>
    </row>
    <row r="351">
      <c r="A351" s="27"/>
      <c r="B351" s="19"/>
      <c r="C351" s="19"/>
    </row>
    <row r="352">
      <c r="A352" s="27"/>
      <c r="B352" s="19"/>
      <c r="C352" s="19"/>
    </row>
    <row r="353">
      <c r="A353" s="27"/>
      <c r="B353" s="19"/>
      <c r="C353" s="19"/>
    </row>
    <row r="354">
      <c r="A354" s="27"/>
      <c r="B354" s="19"/>
      <c r="C354" s="19"/>
    </row>
    <row r="355">
      <c r="A355" s="27"/>
      <c r="B355" s="19"/>
      <c r="C355" s="19"/>
    </row>
    <row r="356">
      <c r="A356" s="27"/>
      <c r="B356" s="19"/>
      <c r="C356" s="19"/>
    </row>
    <row r="357">
      <c r="A357" s="27"/>
      <c r="B357" s="19"/>
      <c r="C357" s="19"/>
    </row>
    <row r="358">
      <c r="A358" s="27"/>
      <c r="B358" s="19"/>
      <c r="C358" s="19"/>
    </row>
    <row r="359">
      <c r="A359" s="27"/>
      <c r="B359" s="19"/>
      <c r="C359" s="19"/>
    </row>
    <row r="360">
      <c r="A360" s="27"/>
      <c r="B360" s="19"/>
      <c r="C360" s="19"/>
    </row>
    <row r="361">
      <c r="A361" s="27"/>
      <c r="B361" s="19"/>
      <c r="C361" s="19"/>
    </row>
    <row r="362">
      <c r="A362" s="27"/>
      <c r="B362" s="19"/>
      <c r="C362" s="19"/>
    </row>
    <row r="363">
      <c r="A363" s="27"/>
      <c r="B363" s="19"/>
      <c r="C363" s="19"/>
    </row>
    <row r="364">
      <c r="A364" s="27"/>
      <c r="B364" s="19"/>
      <c r="C364" s="19"/>
    </row>
    <row r="365">
      <c r="A365" s="27"/>
      <c r="B365" s="19"/>
      <c r="C365" s="19"/>
    </row>
    <row r="366">
      <c r="A366" s="27"/>
      <c r="B366" s="19"/>
      <c r="C366" s="19"/>
    </row>
    <row r="367">
      <c r="A367" s="27"/>
      <c r="B367" s="19"/>
      <c r="C367" s="19"/>
    </row>
    <row r="368">
      <c r="A368" s="27"/>
      <c r="B368" s="19"/>
      <c r="C368" s="19"/>
    </row>
    <row r="369">
      <c r="A369" s="27"/>
      <c r="B369" s="19"/>
      <c r="C369" s="19"/>
    </row>
    <row r="370">
      <c r="A370" s="27"/>
      <c r="B370" s="19"/>
      <c r="C370" s="19"/>
    </row>
    <row r="371">
      <c r="A371" s="27"/>
      <c r="B371" s="19"/>
      <c r="C371" s="19"/>
    </row>
    <row r="372">
      <c r="A372" s="27"/>
      <c r="B372" s="19"/>
      <c r="C372" s="19"/>
    </row>
    <row r="373">
      <c r="A373" s="27"/>
      <c r="B373" s="19"/>
      <c r="C373" s="19"/>
    </row>
    <row r="374">
      <c r="A374" s="27"/>
      <c r="B374" s="19"/>
      <c r="C374" s="19"/>
    </row>
    <row r="375">
      <c r="A375" s="27"/>
      <c r="B375" s="19"/>
      <c r="C375" s="19"/>
    </row>
    <row r="376">
      <c r="A376" s="27"/>
      <c r="B376" s="19"/>
      <c r="C376" s="19"/>
    </row>
    <row r="377">
      <c r="A377" s="27"/>
      <c r="B377" s="19"/>
      <c r="C377" s="19"/>
    </row>
    <row r="378">
      <c r="A378" s="27"/>
      <c r="B378" s="19"/>
      <c r="C378" s="19"/>
    </row>
    <row r="379">
      <c r="A379" s="27"/>
      <c r="B379" s="19"/>
      <c r="C379" s="19"/>
    </row>
    <row r="380">
      <c r="A380" s="27"/>
      <c r="B380" s="19"/>
      <c r="C380" s="19"/>
    </row>
    <row r="381">
      <c r="A381" s="27"/>
      <c r="B381" s="19"/>
      <c r="C381" s="19"/>
    </row>
    <row r="382">
      <c r="A382" s="27"/>
      <c r="B382" s="19"/>
      <c r="C382" s="19"/>
    </row>
    <row r="383">
      <c r="A383" s="27"/>
      <c r="B383" s="19"/>
      <c r="C383" s="19"/>
    </row>
    <row r="384">
      <c r="A384" s="27"/>
      <c r="B384" s="19"/>
      <c r="C384" s="19"/>
    </row>
    <row r="385">
      <c r="A385" s="27"/>
      <c r="B385" s="19"/>
      <c r="C385" s="19"/>
    </row>
    <row r="386">
      <c r="A386" s="27"/>
      <c r="B386" s="19"/>
      <c r="C386" s="19"/>
    </row>
    <row r="387">
      <c r="A387" s="27"/>
      <c r="B387" s="19"/>
      <c r="C387" s="19"/>
    </row>
    <row r="388">
      <c r="A388" s="27"/>
      <c r="B388" s="19"/>
      <c r="C388" s="19"/>
    </row>
    <row r="389">
      <c r="A389" s="27"/>
      <c r="B389" s="19"/>
      <c r="C389" s="19"/>
    </row>
    <row r="390">
      <c r="A390" s="27"/>
      <c r="B390" s="19"/>
      <c r="C390" s="19"/>
    </row>
    <row r="391">
      <c r="A391" s="27"/>
      <c r="B391" s="19"/>
      <c r="C391" s="19"/>
    </row>
    <row r="392">
      <c r="A392" s="27"/>
      <c r="B392" s="19"/>
      <c r="C392" s="19"/>
    </row>
    <row r="393">
      <c r="A393" s="27"/>
      <c r="B393" s="19"/>
      <c r="C393" s="19"/>
    </row>
    <row r="394">
      <c r="A394" s="27"/>
      <c r="B394" s="19"/>
      <c r="C394" s="19"/>
    </row>
    <row r="395">
      <c r="A395" s="27"/>
      <c r="B395" s="19"/>
      <c r="C395" s="19"/>
    </row>
    <row r="396">
      <c r="A396" s="27"/>
      <c r="B396" s="19"/>
      <c r="C396" s="19"/>
    </row>
    <row r="397">
      <c r="A397" s="27"/>
      <c r="B397" s="19"/>
      <c r="C397" s="19"/>
    </row>
    <row r="398">
      <c r="A398" s="27"/>
      <c r="B398" s="19"/>
      <c r="C398" s="19"/>
    </row>
    <row r="399">
      <c r="A399" s="27"/>
      <c r="B399" s="19"/>
      <c r="C399" s="19"/>
    </row>
    <row r="400">
      <c r="A400" s="27"/>
      <c r="B400" s="19"/>
      <c r="C400" s="19"/>
    </row>
    <row r="401">
      <c r="A401" s="27"/>
      <c r="B401" s="19"/>
      <c r="C401" s="19"/>
    </row>
    <row r="402">
      <c r="A402" s="27"/>
      <c r="B402" s="19"/>
      <c r="C402" s="19"/>
    </row>
    <row r="403">
      <c r="A403" s="27"/>
      <c r="B403" s="19"/>
      <c r="C403" s="19"/>
    </row>
    <row r="404">
      <c r="A404" s="27"/>
      <c r="B404" s="19"/>
      <c r="C404" s="19"/>
    </row>
    <row r="405">
      <c r="A405" s="27"/>
      <c r="B405" s="19"/>
      <c r="C405" s="19"/>
    </row>
    <row r="406">
      <c r="A406" s="27"/>
      <c r="B406" s="19"/>
      <c r="C406" s="19"/>
    </row>
    <row r="407">
      <c r="A407" s="27"/>
      <c r="B407" s="19"/>
      <c r="C407" s="19"/>
    </row>
    <row r="408">
      <c r="A408" s="27"/>
      <c r="B408" s="19"/>
      <c r="C408" s="19"/>
    </row>
    <row r="409">
      <c r="A409" s="27"/>
      <c r="B409" s="19"/>
      <c r="C409" s="19"/>
    </row>
    <row r="410">
      <c r="A410" s="27"/>
      <c r="B410" s="19"/>
      <c r="C410" s="19"/>
    </row>
    <row r="411">
      <c r="A411" s="27"/>
      <c r="B411" s="19"/>
      <c r="C411" s="19"/>
    </row>
    <row r="412">
      <c r="A412" s="27"/>
      <c r="B412" s="19"/>
      <c r="C412" s="19"/>
    </row>
    <row r="413">
      <c r="A413" s="27"/>
      <c r="B413" s="19"/>
      <c r="C413" s="19"/>
    </row>
    <row r="414">
      <c r="A414" s="27"/>
      <c r="B414" s="19"/>
      <c r="C414" s="19"/>
    </row>
    <row r="415">
      <c r="A415" s="27"/>
      <c r="B415" s="19"/>
      <c r="C415" s="19"/>
    </row>
    <row r="416">
      <c r="A416" s="27"/>
      <c r="B416" s="19"/>
      <c r="C416" s="19"/>
    </row>
    <row r="417">
      <c r="A417" s="27"/>
      <c r="B417" s="19"/>
      <c r="C417" s="19"/>
    </row>
    <row r="418">
      <c r="A418" s="27"/>
      <c r="B418" s="19"/>
      <c r="C418" s="19"/>
    </row>
    <row r="419">
      <c r="A419" s="27"/>
      <c r="B419" s="19"/>
      <c r="C419" s="19"/>
    </row>
    <row r="420">
      <c r="A420" s="27"/>
      <c r="B420" s="19"/>
      <c r="C420" s="19"/>
    </row>
    <row r="421">
      <c r="A421" s="27"/>
      <c r="B421" s="19"/>
      <c r="C421" s="19"/>
    </row>
    <row r="422">
      <c r="A422" s="27"/>
      <c r="B422" s="19"/>
      <c r="C422" s="19"/>
    </row>
    <row r="423">
      <c r="A423" s="27"/>
      <c r="B423" s="19"/>
      <c r="C423" s="19"/>
    </row>
    <row r="424">
      <c r="A424" s="27"/>
      <c r="B424" s="19"/>
      <c r="C424" s="19"/>
    </row>
    <row r="425">
      <c r="A425" s="27"/>
      <c r="B425" s="19"/>
      <c r="C425" s="19"/>
    </row>
    <row r="426">
      <c r="A426" s="27"/>
      <c r="B426" s="19"/>
      <c r="C426" s="19"/>
    </row>
    <row r="427">
      <c r="A427" s="27"/>
      <c r="B427" s="19"/>
      <c r="C427" s="19"/>
    </row>
    <row r="428">
      <c r="A428" s="27"/>
      <c r="B428" s="19"/>
      <c r="C428" s="19"/>
    </row>
    <row r="429">
      <c r="A429" s="27"/>
      <c r="B429" s="19"/>
      <c r="C429" s="19"/>
    </row>
    <row r="430">
      <c r="A430" s="27"/>
      <c r="B430" s="19"/>
      <c r="C430" s="19"/>
    </row>
    <row r="431">
      <c r="A431" s="27"/>
      <c r="B431" s="19"/>
      <c r="C431" s="19"/>
    </row>
    <row r="432">
      <c r="A432" s="27"/>
      <c r="B432" s="19"/>
      <c r="C432" s="19"/>
    </row>
    <row r="433">
      <c r="A433" s="27"/>
      <c r="B433" s="19"/>
      <c r="C433" s="19"/>
    </row>
    <row r="434">
      <c r="A434" s="27"/>
      <c r="B434" s="19"/>
      <c r="C434" s="19"/>
    </row>
    <row r="435">
      <c r="A435" s="27"/>
      <c r="B435" s="19"/>
      <c r="C435" s="19"/>
    </row>
    <row r="436">
      <c r="A436" s="27"/>
      <c r="B436" s="19"/>
      <c r="C436" s="19"/>
    </row>
    <row r="437">
      <c r="A437" s="27"/>
      <c r="B437" s="19"/>
      <c r="C437" s="19"/>
    </row>
    <row r="438">
      <c r="A438" s="27"/>
      <c r="B438" s="19"/>
      <c r="C438" s="19"/>
    </row>
    <row r="439">
      <c r="A439" s="27"/>
      <c r="B439" s="19"/>
      <c r="C439" s="19"/>
    </row>
    <row r="440">
      <c r="A440" s="27"/>
      <c r="B440" s="19"/>
      <c r="C440" s="19"/>
    </row>
    <row r="441">
      <c r="A441" s="27"/>
      <c r="B441" s="19"/>
      <c r="C441" s="19"/>
    </row>
    <row r="442">
      <c r="A442" s="27"/>
      <c r="B442" s="19"/>
      <c r="C442" s="19"/>
    </row>
    <row r="443">
      <c r="A443" s="27"/>
      <c r="B443" s="19"/>
      <c r="C443" s="19"/>
    </row>
    <row r="444">
      <c r="A444" s="27"/>
      <c r="B444" s="19"/>
      <c r="C444" s="19"/>
    </row>
    <row r="445">
      <c r="A445" s="27"/>
      <c r="B445" s="19"/>
      <c r="C445" s="19"/>
    </row>
    <row r="446">
      <c r="A446" s="27"/>
      <c r="B446" s="19"/>
      <c r="C446" s="19"/>
    </row>
    <row r="447">
      <c r="A447" s="27"/>
      <c r="B447" s="19"/>
      <c r="C447" s="19"/>
    </row>
    <row r="448">
      <c r="A448" s="27"/>
      <c r="B448" s="19"/>
      <c r="C448" s="19"/>
    </row>
    <row r="449">
      <c r="A449" s="27"/>
      <c r="B449" s="19"/>
      <c r="C449" s="19"/>
    </row>
    <row r="450">
      <c r="A450" s="27"/>
      <c r="B450" s="19"/>
      <c r="C450" s="19"/>
    </row>
    <row r="451">
      <c r="A451" s="27"/>
      <c r="B451" s="19"/>
      <c r="C451" s="19"/>
    </row>
    <row r="452">
      <c r="A452" s="27"/>
      <c r="B452" s="19"/>
      <c r="C452" s="19"/>
    </row>
    <row r="453">
      <c r="A453" s="27"/>
      <c r="B453" s="19"/>
      <c r="C453" s="19"/>
    </row>
    <row r="454">
      <c r="A454" s="27"/>
      <c r="B454" s="19"/>
      <c r="C454" s="19"/>
    </row>
    <row r="455">
      <c r="A455" s="27"/>
      <c r="B455" s="19"/>
      <c r="C455" s="19"/>
    </row>
    <row r="456">
      <c r="A456" s="27"/>
      <c r="B456" s="19"/>
      <c r="C456" s="19"/>
    </row>
    <row r="457">
      <c r="A457" s="27"/>
      <c r="B457" s="19"/>
      <c r="C457" s="19"/>
    </row>
    <row r="458">
      <c r="A458" s="27"/>
      <c r="B458" s="19"/>
      <c r="C458" s="19"/>
    </row>
    <row r="459">
      <c r="A459" s="27"/>
      <c r="B459" s="19"/>
      <c r="C459" s="19"/>
    </row>
    <row r="460">
      <c r="A460" s="27"/>
      <c r="B460" s="19"/>
      <c r="C460" s="19"/>
    </row>
    <row r="461">
      <c r="A461" s="27"/>
      <c r="B461" s="19"/>
      <c r="C461" s="19"/>
    </row>
    <row r="462">
      <c r="A462" s="27"/>
      <c r="B462" s="19"/>
      <c r="C462" s="19"/>
    </row>
    <row r="463">
      <c r="A463" s="27"/>
      <c r="B463" s="19"/>
      <c r="C463" s="19"/>
    </row>
    <row r="464">
      <c r="A464" s="27"/>
      <c r="B464" s="19"/>
      <c r="C464" s="19"/>
    </row>
    <row r="465">
      <c r="A465" s="27"/>
      <c r="B465" s="19"/>
      <c r="C465" s="19"/>
    </row>
    <row r="466">
      <c r="A466" s="27"/>
      <c r="B466" s="19"/>
      <c r="C466" s="19"/>
    </row>
    <row r="467">
      <c r="A467" s="27"/>
      <c r="B467" s="19"/>
      <c r="C467" s="19"/>
    </row>
    <row r="468">
      <c r="A468" s="27"/>
      <c r="B468" s="19"/>
      <c r="C468" s="19"/>
    </row>
    <row r="469">
      <c r="A469" s="27"/>
      <c r="B469" s="19"/>
      <c r="C469" s="19"/>
    </row>
    <row r="470">
      <c r="A470" s="27"/>
      <c r="B470" s="19"/>
      <c r="C470" s="19"/>
    </row>
    <row r="471">
      <c r="A471" s="27"/>
      <c r="B471" s="19"/>
      <c r="C471" s="19"/>
    </row>
    <row r="472">
      <c r="A472" s="27"/>
      <c r="B472" s="19"/>
      <c r="C472" s="19"/>
    </row>
    <row r="473">
      <c r="A473" s="27"/>
      <c r="B473" s="19"/>
      <c r="C473" s="19"/>
    </row>
    <row r="474">
      <c r="A474" s="27"/>
      <c r="B474" s="19"/>
      <c r="C474" s="19"/>
    </row>
    <row r="475">
      <c r="A475" s="27"/>
      <c r="B475" s="19"/>
      <c r="C475" s="19"/>
    </row>
    <row r="476">
      <c r="A476" s="27"/>
      <c r="B476" s="19"/>
      <c r="C476" s="19"/>
    </row>
    <row r="477">
      <c r="A477" s="27"/>
      <c r="B477" s="19"/>
      <c r="C477" s="19"/>
    </row>
    <row r="478">
      <c r="A478" s="27"/>
      <c r="B478" s="19"/>
      <c r="C478" s="19"/>
    </row>
    <row r="479">
      <c r="A479" s="27"/>
      <c r="B479" s="19"/>
      <c r="C479" s="19"/>
    </row>
    <row r="480">
      <c r="A480" s="27"/>
      <c r="B480" s="19"/>
      <c r="C480" s="19"/>
    </row>
    <row r="481">
      <c r="A481" s="27"/>
      <c r="B481" s="19"/>
      <c r="C481" s="19"/>
    </row>
    <row r="482">
      <c r="A482" s="27"/>
      <c r="B482" s="19"/>
      <c r="C482" s="19"/>
    </row>
    <row r="483">
      <c r="A483" s="27"/>
      <c r="B483" s="19"/>
      <c r="C483" s="19"/>
    </row>
    <row r="484">
      <c r="A484" s="27"/>
      <c r="B484" s="19"/>
      <c r="C484" s="19"/>
    </row>
    <row r="485">
      <c r="A485" s="27"/>
      <c r="B485" s="19"/>
      <c r="C485" s="19"/>
    </row>
    <row r="486">
      <c r="A486" s="27"/>
      <c r="B486" s="19"/>
      <c r="C486" s="19"/>
    </row>
    <row r="487">
      <c r="A487" s="27"/>
      <c r="B487" s="19"/>
      <c r="C487" s="19"/>
    </row>
    <row r="488">
      <c r="A488" s="27"/>
      <c r="B488" s="19"/>
      <c r="C488" s="19"/>
    </row>
    <row r="489">
      <c r="A489" s="27"/>
      <c r="B489" s="19"/>
      <c r="C489" s="19"/>
    </row>
    <row r="490">
      <c r="A490" s="27"/>
      <c r="B490" s="19"/>
      <c r="C490" s="19"/>
    </row>
    <row r="491">
      <c r="A491" s="27"/>
      <c r="B491" s="19"/>
      <c r="C491" s="19"/>
    </row>
    <row r="492">
      <c r="A492" s="27"/>
      <c r="B492" s="19"/>
      <c r="C492" s="19"/>
    </row>
    <row r="493">
      <c r="A493" s="27"/>
      <c r="B493" s="19"/>
      <c r="C493" s="19"/>
    </row>
    <row r="494">
      <c r="A494" s="27"/>
      <c r="B494" s="19"/>
      <c r="C494" s="19"/>
    </row>
    <row r="495">
      <c r="A495" s="27"/>
      <c r="B495" s="19"/>
      <c r="C495" s="19"/>
    </row>
    <row r="496">
      <c r="A496" s="27"/>
      <c r="B496" s="19"/>
      <c r="C496" s="19"/>
    </row>
    <row r="497">
      <c r="A497" s="27"/>
      <c r="B497" s="19"/>
      <c r="C497" s="19"/>
    </row>
    <row r="498">
      <c r="A498" s="27"/>
      <c r="B498" s="19"/>
      <c r="C498" s="19"/>
    </row>
    <row r="499">
      <c r="A499" s="27"/>
      <c r="B499" s="19"/>
      <c r="C499" s="19"/>
    </row>
    <row r="500">
      <c r="A500" s="27"/>
      <c r="B500" s="19"/>
      <c r="C500" s="19"/>
    </row>
    <row r="501">
      <c r="A501" s="27"/>
      <c r="B501" s="19"/>
      <c r="C501" s="19"/>
    </row>
    <row r="502">
      <c r="A502" s="27"/>
      <c r="B502" s="19"/>
      <c r="C502" s="19"/>
    </row>
    <row r="503">
      <c r="A503" s="27"/>
      <c r="B503" s="19"/>
      <c r="C503" s="19"/>
    </row>
    <row r="504">
      <c r="A504" s="27"/>
      <c r="B504" s="19"/>
      <c r="C504" s="19"/>
    </row>
    <row r="505">
      <c r="A505" s="27"/>
      <c r="B505" s="19"/>
      <c r="C505" s="19"/>
    </row>
    <row r="506">
      <c r="A506" s="27"/>
      <c r="B506" s="19"/>
      <c r="C506" s="19"/>
    </row>
    <row r="507">
      <c r="A507" s="27"/>
      <c r="B507" s="19"/>
      <c r="C507" s="19"/>
    </row>
    <row r="508">
      <c r="A508" s="27"/>
      <c r="B508" s="19"/>
      <c r="C508" s="19"/>
    </row>
    <row r="509">
      <c r="A509" s="27"/>
      <c r="B509" s="19"/>
      <c r="C509" s="19"/>
    </row>
    <row r="510">
      <c r="A510" s="27"/>
      <c r="B510" s="19"/>
      <c r="C510" s="19"/>
    </row>
    <row r="511">
      <c r="A511" s="27"/>
      <c r="B511" s="19"/>
      <c r="C511" s="19"/>
    </row>
    <row r="512">
      <c r="A512" s="27"/>
      <c r="B512" s="19"/>
      <c r="C512" s="19"/>
    </row>
    <row r="513">
      <c r="A513" s="27"/>
      <c r="B513" s="19"/>
      <c r="C513" s="19"/>
    </row>
    <row r="514">
      <c r="A514" s="27"/>
      <c r="B514" s="19"/>
      <c r="C514" s="19"/>
    </row>
    <row r="515">
      <c r="A515" s="27"/>
      <c r="B515" s="19"/>
      <c r="C515" s="19"/>
    </row>
    <row r="516">
      <c r="A516" s="27"/>
      <c r="B516" s="19"/>
      <c r="C516" s="19"/>
    </row>
    <row r="517">
      <c r="A517" s="27"/>
      <c r="B517" s="19"/>
      <c r="C517" s="19"/>
    </row>
    <row r="518">
      <c r="A518" s="27"/>
      <c r="B518" s="19"/>
      <c r="C518" s="19"/>
    </row>
    <row r="519">
      <c r="A519" s="27"/>
      <c r="B519" s="19"/>
      <c r="C519" s="19"/>
    </row>
    <row r="520">
      <c r="A520" s="27"/>
      <c r="B520" s="19"/>
      <c r="C520" s="19"/>
    </row>
    <row r="521">
      <c r="A521" s="27"/>
      <c r="B521" s="19"/>
      <c r="C521" s="19"/>
    </row>
    <row r="522">
      <c r="A522" s="27"/>
      <c r="B522" s="19"/>
      <c r="C522" s="19"/>
    </row>
    <row r="523">
      <c r="A523" s="27"/>
      <c r="B523" s="19"/>
      <c r="C523" s="19"/>
    </row>
    <row r="524">
      <c r="A524" s="27"/>
      <c r="B524" s="19"/>
      <c r="C524" s="19"/>
    </row>
    <row r="525">
      <c r="A525" s="27"/>
      <c r="B525" s="19"/>
      <c r="C525" s="19"/>
    </row>
    <row r="526">
      <c r="A526" s="27"/>
      <c r="B526" s="19"/>
      <c r="C526" s="19"/>
    </row>
    <row r="527">
      <c r="A527" s="27"/>
      <c r="B527" s="19"/>
      <c r="C527" s="19"/>
    </row>
    <row r="528">
      <c r="A528" s="27"/>
      <c r="B528" s="19"/>
      <c r="C528" s="19"/>
    </row>
    <row r="529">
      <c r="A529" s="27"/>
      <c r="B529" s="19"/>
      <c r="C529" s="19"/>
    </row>
    <row r="530">
      <c r="A530" s="27"/>
      <c r="B530" s="19"/>
      <c r="C530" s="19"/>
    </row>
    <row r="531">
      <c r="A531" s="27"/>
      <c r="B531" s="19"/>
      <c r="C531" s="19"/>
    </row>
    <row r="532">
      <c r="A532" s="27"/>
      <c r="B532" s="19"/>
      <c r="C532" s="19"/>
    </row>
    <row r="533">
      <c r="A533" s="27"/>
      <c r="B533" s="19"/>
      <c r="C533" s="19"/>
    </row>
    <row r="534">
      <c r="A534" s="27"/>
      <c r="B534" s="19"/>
      <c r="C534" s="19"/>
    </row>
    <row r="535">
      <c r="A535" s="27"/>
      <c r="B535" s="19"/>
      <c r="C535" s="19"/>
    </row>
    <row r="536">
      <c r="A536" s="27"/>
      <c r="B536" s="19"/>
      <c r="C536" s="19"/>
    </row>
    <row r="537">
      <c r="A537" s="27"/>
      <c r="B537" s="19"/>
      <c r="C537" s="19"/>
    </row>
    <row r="538">
      <c r="A538" s="27"/>
      <c r="B538" s="19"/>
      <c r="C538" s="19"/>
    </row>
    <row r="539">
      <c r="A539" s="27"/>
      <c r="B539" s="19"/>
      <c r="C539" s="19"/>
    </row>
    <row r="540">
      <c r="A540" s="27"/>
      <c r="B540" s="19"/>
      <c r="C540" s="19"/>
    </row>
    <row r="541">
      <c r="A541" s="27"/>
      <c r="B541" s="19"/>
      <c r="C541" s="19"/>
    </row>
    <row r="542">
      <c r="A542" s="27"/>
      <c r="B542" s="19"/>
      <c r="C542" s="19"/>
    </row>
    <row r="543">
      <c r="A543" s="27"/>
      <c r="B543" s="19"/>
      <c r="C543" s="19"/>
    </row>
    <row r="544">
      <c r="A544" s="27"/>
      <c r="B544" s="19"/>
      <c r="C544" s="19"/>
    </row>
    <row r="545">
      <c r="A545" s="27"/>
      <c r="B545" s="19"/>
      <c r="C545" s="19"/>
    </row>
    <row r="546">
      <c r="A546" s="27"/>
      <c r="B546" s="19"/>
      <c r="C546" s="19"/>
    </row>
    <row r="547">
      <c r="A547" s="27"/>
      <c r="B547" s="19"/>
      <c r="C547" s="19"/>
    </row>
    <row r="548">
      <c r="A548" s="27"/>
      <c r="B548" s="19"/>
      <c r="C548" s="19"/>
    </row>
    <row r="549">
      <c r="A549" s="27"/>
      <c r="B549" s="19"/>
      <c r="C549" s="19"/>
    </row>
    <row r="550">
      <c r="A550" s="27"/>
      <c r="B550" s="19"/>
      <c r="C550" s="19"/>
    </row>
    <row r="551">
      <c r="A551" s="27"/>
      <c r="B551" s="19"/>
      <c r="C551" s="19"/>
    </row>
    <row r="552">
      <c r="A552" s="27"/>
      <c r="B552" s="19"/>
      <c r="C552" s="19"/>
    </row>
    <row r="553">
      <c r="A553" s="27"/>
      <c r="B553" s="19"/>
      <c r="C553" s="19"/>
    </row>
    <row r="554">
      <c r="A554" s="27"/>
      <c r="B554" s="19"/>
      <c r="C554" s="19"/>
    </row>
    <row r="555">
      <c r="A555" s="27"/>
      <c r="B555" s="19"/>
      <c r="C555" s="19"/>
    </row>
    <row r="556">
      <c r="A556" s="27"/>
      <c r="B556" s="19"/>
      <c r="C556" s="19"/>
    </row>
    <row r="557">
      <c r="A557" s="27"/>
      <c r="B557" s="19"/>
      <c r="C557" s="19"/>
    </row>
    <row r="558">
      <c r="A558" s="27"/>
      <c r="B558" s="19"/>
      <c r="C558" s="19"/>
    </row>
    <row r="559">
      <c r="A559" s="27"/>
      <c r="B559" s="19"/>
      <c r="C559" s="19"/>
    </row>
    <row r="560">
      <c r="A560" s="27"/>
      <c r="B560" s="19"/>
      <c r="C560" s="19"/>
    </row>
    <row r="561">
      <c r="A561" s="27"/>
      <c r="B561" s="19"/>
      <c r="C561" s="19"/>
    </row>
    <row r="562">
      <c r="A562" s="27"/>
      <c r="B562" s="19"/>
      <c r="C562" s="19"/>
    </row>
    <row r="563">
      <c r="A563" s="27"/>
      <c r="B563" s="19"/>
      <c r="C563" s="19"/>
    </row>
    <row r="564">
      <c r="A564" s="27"/>
      <c r="B564" s="19"/>
      <c r="C564" s="19"/>
    </row>
    <row r="565">
      <c r="A565" s="27"/>
      <c r="B565" s="19"/>
      <c r="C565" s="19"/>
    </row>
    <row r="566">
      <c r="A566" s="27"/>
      <c r="B566" s="19"/>
      <c r="C566" s="19"/>
    </row>
    <row r="567">
      <c r="A567" s="27"/>
      <c r="B567" s="19"/>
      <c r="C567" s="19"/>
    </row>
    <row r="568">
      <c r="A568" s="27"/>
      <c r="B568" s="19"/>
      <c r="C568" s="19"/>
    </row>
    <row r="569">
      <c r="A569" s="27"/>
      <c r="B569" s="19"/>
      <c r="C569" s="19"/>
    </row>
    <row r="570">
      <c r="A570" s="27"/>
      <c r="B570" s="19"/>
      <c r="C570" s="19"/>
    </row>
    <row r="571">
      <c r="A571" s="27"/>
      <c r="B571" s="19"/>
      <c r="C571" s="19"/>
    </row>
    <row r="572">
      <c r="A572" s="27"/>
      <c r="B572" s="19"/>
      <c r="C572" s="19"/>
    </row>
    <row r="573">
      <c r="A573" s="27"/>
      <c r="B573" s="19"/>
      <c r="C573" s="19"/>
    </row>
    <row r="574">
      <c r="A574" s="27"/>
      <c r="B574" s="19"/>
      <c r="C574" s="19"/>
    </row>
    <row r="575">
      <c r="A575" s="27"/>
      <c r="B575" s="19"/>
      <c r="C575" s="19"/>
    </row>
    <row r="576">
      <c r="A576" s="27"/>
      <c r="B576" s="19"/>
      <c r="C576" s="19"/>
    </row>
    <row r="577">
      <c r="A577" s="27"/>
      <c r="B577" s="19"/>
      <c r="C577" s="19"/>
    </row>
    <row r="578">
      <c r="A578" s="27"/>
      <c r="B578" s="19"/>
      <c r="C578" s="19"/>
    </row>
    <row r="579">
      <c r="A579" s="27"/>
      <c r="B579" s="19"/>
      <c r="C579" s="19"/>
    </row>
    <row r="580">
      <c r="A580" s="27"/>
      <c r="B580" s="19"/>
      <c r="C580" s="19"/>
    </row>
    <row r="581">
      <c r="A581" s="27"/>
      <c r="B581" s="19"/>
      <c r="C581" s="19"/>
    </row>
    <row r="582">
      <c r="A582" s="27"/>
      <c r="B582" s="19"/>
      <c r="C582" s="19"/>
    </row>
    <row r="583">
      <c r="A583" s="27"/>
      <c r="B583" s="19"/>
      <c r="C583" s="19"/>
    </row>
    <row r="584">
      <c r="A584" s="27"/>
      <c r="B584" s="19"/>
      <c r="C584" s="19"/>
    </row>
    <row r="585">
      <c r="A585" s="27"/>
      <c r="B585" s="19"/>
      <c r="C585" s="19"/>
    </row>
    <row r="586">
      <c r="A586" s="27"/>
      <c r="B586" s="19"/>
      <c r="C586" s="19"/>
    </row>
    <row r="587">
      <c r="A587" s="27"/>
      <c r="B587" s="19"/>
      <c r="C587" s="19"/>
    </row>
    <row r="588">
      <c r="A588" s="27"/>
      <c r="B588" s="19"/>
      <c r="C588" s="19"/>
    </row>
    <row r="589">
      <c r="A589" s="27"/>
      <c r="B589" s="19"/>
      <c r="C589" s="19"/>
    </row>
    <row r="590">
      <c r="A590" s="27"/>
      <c r="B590" s="19"/>
      <c r="C590" s="19"/>
    </row>
    <row r="591">
      <c r="A591" s="27"/>
      <c r="B591" s="19"/>
      <c r="C591" s="19"/>
    </row>
    <row r="592">
      <c r="A592" s="27"/>
      <c r="B592" s="19"/>
      <c r="C592" s="19"/>
    </row>
    <row r="593">
      <c r="A593" s="27"/>
      <c r="B593" s="19"/>
      <c r="C593" s="19"/>
    </row>
    <row r="594">
      <c r="A594" s="27"/>
      <c r="B594" s="19"/>
      <c r="C594" s="19"/>
    </row>
    <row r="595">
      <c r="A595" s="27"/>
      <c r="B595" s="19"/>
      <c r="C595" s="19"/>
    </row>
    <row r="596">
      <c r="A596" s="27"/>
      <c r="B596" s="19"/>
      <c r="C596" s="19"/>
    </row>
    <row r="597">
      <c r="A597" s="27"/>
      <c r="B597" s="19"/>
      <c r="C597" s="19"/>
    </row>
    <row r="598">
      <c r="A598" s="27"/>
      <c r="B598" s="19"/>
      <c r="C598" s="19"/>
    </row>
    <row r="599">
      <c r="A599" s="27"/>
      <c r="B599" s="19"/>
      <c r="C599" s="19"/>
    </row>
    <row r="600">
      <c r="A600" s="27"/>
      <c r="B600" s="19"/>
      <c r="C600" s="19"/>
    </row>
    <row r="601">
      <c r="A601" s="27"/>
      <c r="B601" s="19"/>
      <c r="C601" s="19"/>
    </row>
    <row r="602">
      <c r="A602" s="27"/>
      <c r="B602" s="19"/>
      <c r="C602" s="19"/>
    </row>
    <row r="603">
      <c r="A603" s="27"/>
      <c r="B603" s="19"/>
      <c r="C603" s="19"/>
    </row>
    <row r="604">
      <c r="A604" s="27"/>
      <c r="B604" s="19"/>
      <c r="C604" s="19"/>
    </row>
    <row r="605">
      <c r="A605" s="27"/>
      <c r="B605" s="19"/>
      <c r="C605" s="19"/>
    </row>
    <row r="606">
      <c r="A606" s="27"/>
      <c r="B606" s="19"/>
      <c r="C606" s="19"/>
    </row>
    <row r="607">
      <c r="A607" s="27"/>
      <c r="B607" s="19"/>
      <c r="C607" s="19"/>
    </row>
    <row r="608">
      <c r="A608" s="27"/>
      <c r="B608" s="19"/>
      <c r="C608" s="19"/>
    </row>
    <row r="609">
      <c r="A609" s="27"/>
      <c r="B609" s="19"/>
      <c r="C609" s="19"/>
    </row>
    <row r="610">
      <c r="A610" s="27"/>
      <c r="B610" s="19"/>
      <c r="C610" s="19"/>
    </row>
    <row r="611">
      <c r="A611" s="27"/>
      <c r="B611" s="19"/>
      <c r="C611" s="19"/>
    </row>
    <row r="612">
      <c r="A612" s="27"/>
      <c r="B612" s="19"/>
      <c r="C612" s="19"/>
    </row>
    <row r="613">
      <c r="A613" s="27"/>
      <c r="B613" s="19"/>
      <c r="C613" s="19"/>
    </row>
    <row r="614">
      <c r="A614" s="27"/>
      <c r="B614" s="19"/>
      <c r="C614" s="19"/>
    </row>
    <row r="615">
      <c r="A615" s="27"/>
      <c r="B615" s="19"/>
      <c r="C615" s="19"/>
    </row>
    <row r="616">
      <c r="A616" s="27"/>
      <c r="B616" s="19"/>
      <c r="C616" s="19"/>
    </row>
    <row r="617">
      <c r="A617" s="27"/>
      <c r="B617" s="19"/>
      <c r="C617" s="19"/>
    </row>
    <row r="618">
      <c r="A618" s="27"/>
      <c r="B618" s="19"/>
      <c r="C618" s="19"/>
    </row>
    <row r="619">
      <c r="A619" s="27"/>
      <c r="B619" s="19"/>
      <c r="C619" s="19"/>
    </row>
    <row r="620">
      <c r="A620" s="27"/>
      <c r="B620" s="19"/>
      <c r="C620" s="19"/>
    </row>
    <row r="621">
      <c r="A621" s="27"/>
      <c r="B621" s="19"/>
      <c r="C621" s="19"/>
    </row>
    <row r="622">
      <c r="A622" s="27"/>
      <c r="B622" s="19"/>
      <c r="C622" s="19"/>
    </row>
    <row r="623">
      <c r="A623" s="27"/>
      <c r="B623" s="19"/>
      <c r="C623" s="19"/>
    </row>
    <row r="624">
      <c r="A624" s="27"/>
      <c r="B624" s="19"/>
      <c r="C624" s="19"/>
    </row>
    <row r="625">
      <c r="A625" s="27"/>
      <c r="B625" s="19"/>
      <c r="C625" s="19"/>
    </row>
    <row r="626">
      <c r="A626" s="27"/>
      <c r="B626" s="19"/>
      <c r="C626" s="19"/>
    </row>
    <row r="627">
      <c r="A627" s="27"/>
      <c r="B627" s="19"/>
      <c r="C627" s="19"/>
    </row>
    <row r="628">
      <c r="A628" s="27"/>
      <c r="B628" s="19"/>
      <c r="C628" s="19"/>
    </row>
    <row r="629">
      <c r="A629" s="27"/>
      <c r="B629" s="19"/>
      <c r="C629" s="19"/>
    </row>
    <row r="630">
      <c r="A630" s="27"/>
      <c r="B630" s="19"/>
      <c r="C630" s="19"/>
    </row>
    <row r="631">
      <c r="A631" s="27"/>
      <c r="B631" s="19"/>
      <c r="C631" s="19"/>
    </row>
    <row r="632">
      <c r="A632" s="27"/>
      <c r="B632" s="19"/>
      <c r="C632" s="19"/>
    </row>
    <row r="633">
      <c r="A633" s="27"/>
      <c r="B633" s="19"/>
      <c r="C633" s="19"/>
    </row>
    <row r="634">
      <c r="A634" s="27"/>
      <c r="B634" s="19"/>
      <c r="C634" s="19"/>
    </row>
    <row r="635">
      <c r="A635" s="27"/>
      <c r="B635" s="19"/>
      <c r="C635" s="19"/>
    </row>
    <row r="636">
      <c r="A636" s="27"/>
      <c r="B636" s="19"/>
      <c r="C636" s="19"/>
    </row>
    <row r="637">
      <c r="A637" s="27"/>
      <c r="B637" s="19"/>
      <c r="C637" s="19"/>
    </row>
    <row r="638">
      <c r="A638" s="27"/>
      <c r="B638" s="19"/>
      <c r="C638" s="19"/>
    </row>
    <row r="639">
      <c r="A639" s="27"/>
      <c r="B639" s="19"/>
      <c r="C639" s="19"/>
    </row>
    <row r="640">
      <c r="A640" s="27"/>
      <c r="B640" s="19"/>
      <c r="C640" s="19"/>
    </row>
    <row r="641">
      <c r="A641" s="27"/>
      <c r="B641" s="19"/>
      <c r="C641" s="19"/>
    </row>
    <row r="642">
      <c r="A642" s="27"/>
      <c r="B642" s="19"/>
      <c r="C642" s="19"/>
    </row>
    <row r="643">
      <c r="A643" s="27"/>
      <c r="B643" s="19"/>
      <c r="C643" s="19"/>
    </row>
    <row r="644">
      <c r="A644" s="27"/>
      <c r="B644" s="19"/>
      <c r="C644" s="19"/>
    </row>
    <row r="645">
      <c r="A645" s="27"/>
      <c r="B645" s="19"/>
      <c r="C645" s="19"/>
    </row>
    <row r="646">
      <c r="A646" s="27"/>
      <c r="B646" s="19"/>
      <c r="C646" s="19"/>
    </row>
    <row r="647">
      <c r="A647" s="27"/>
      <c r="B647" s="19"/>
      <c r="C647" s="19"/>
    </row>
    <row r="648">
      <c r="A648" s="27"/>
      <c r="B648" s="19"/>
      <c r="C648" s="19"/>
    </row>
    <row r="649">
      <c r="A649" s="27"/>
      <c r="B649" s="19"/>
      <c r="C649" s="19"/>
    </row>
    <row r="650">
      <c r="A650" s="27"/>
      <c r="B650" s="19"/>
      <c r="C650" s="19"/>
    </row>
    <row r="651">
      <c r="A651" s="27"/>
      <c r="B651" s="19"/>
      <c r="C651" s="19"/>
    </row>
    <row r="652">
      <c r="A652" s="27"/>
      <c r="B652" s="19"/>
      <c r="C652" s="19"/>
    </row>
    <row r="653">
      <c r="A653" s="27"/>
      <c r="B653" s="19"/>
      <c r="C653" s="19"/>
    </row>
    <row r="654">
      <c r="A654" s="27"/>
      <c r="B654" s="19"/>
      <c r="C654" s="19"/>
    </row>
    <row r="655">
      <c r="A655" s="27"/>
      <c r="B655" s="19"/>
      <c r="C655" s="19"/>
    </row>
    <row r="656">
      <c r="A656" s="27"/>
      <c r="B656" s="19"/>
      <c r="C656" s="19"/>
    </row>
    <row r="657">
      <c r="A657" s="27"/>
      <c r="B657" s="19"/>
      <c r="C657" s="19"/>
    </row>
    <row r="658">
      <c r="A658" s="27"/>
      <c r="B658" s="19"/>
      <c r="C658" s="19"/>
    </row>
    <row r="659">
      <c r="A659" s="27"/>
      <c r="B659" s="19"/>
      <c r="C659" s="19"/>
    </row>
    <row r="660">
      <c r="A660" s="27"/>
      <c r="B660" s="19"/>
      <c r="C660" s="19"/>
    </row>
    <row r="661">
      <c r="A661" s="27"/>
      <c r="B661" s="19"/>
      <c r="C661" s="19"/>
    </row>
    <row r="662">
      <c r="A662" s="27"/>
      <c r="B662" s="19"/>
      <c r="C662" s="19"/>
    </row>
    <row r="663">
      <c r="A663" s="27"/>
      <c r="B663" s="19"/>
      <c r="C663" s="19"/>
    </row>
    <row r="664">
      <c r="A664" s="27"/>
      <c r="B664" s="19"/>
      <c r="C664" s="19"/>
    </row>
    <row r="665">
      <c r="A665" s="27"/>
      <c r="B665" s="19"/>
      <c r="C665" s="19"/>
    </row>
    <row r="666">
      <c r="A666" s="27"/>
      <c r="B666" s="19"/>
      <c r="C666" s="19"/>
    </row>
    <row r="667">
      <c r="A667" s="27"/>
      <c r="B667" s="19"/>
      <c r="C667" s="19"/>
    </row>
    <row r="668">
      <c r="A668" s="27"/>
      <c r="B668" s="19"/>
      <c r="C668" s="19"/>
    </row>
    <row r="669">
      <c r="A669" s="27"/>
      <c r="B669" s="19"/>
      <c r="C669" s="19"/>
    </row>
    <row r="670">
      <c r="A670" s="27"/>
      <c r="B670" s="19"/>
      <c r="C670" s="19"/>
    </row>
    <row r="671">
      <c r="A671" s="27"/>
      <c r="B671" s="19"/>
      <c r="C671" s="19"/>
    </row>
    <row r="672">
      <c r="A672" s="27"/>
      <c r="B672" s="19"/>
      <c r="C672" s="19"/>
    </row>
    <row r="673">
      <c r="A673" s="27"/>
      <c r="B673" s="19"/>
      <c r="C673" s="19"/>
    </row>
    <row r="674">
      <c r="A674" s="27"/>
      <c r="B674" s="19"/>
      <c r="C674" s="19"/>
    </row>
    <row r="675">
      <c r="A675" s="27"/>
      <c r="B675" s="19"/>
      <c r="C675" s="19"/>
    </row>
    <row r="676">
      <c r="A676" s="27"/>
      <c r="B676" s="19"/>
      <c r="C676" s="19"/>
    </row>
    <row r="677">
      <c r="A677" s="27"/>
      <c r="B677" s="19"/>
      <c r="C677" s="19"/>
    </row>
    <row r="678">
      <c r="A678" s="27"/>
      <c r="B678" s="19"/>
      <c r="C678" s="19"/>
    </row>
    <row r="679">
      <c r="A679" s="27"/>
      <c r="B679" s="19"/>
      <c r="C679" s="19"/>
    </row>
    <row r="680">
      <c r="A680" s="27"/>
      <c r="B680" s="19"/>
      <c r="C680" s="19"/>
    </row>
    <row r="681">
      <c r="A681" s="27"/>
      <c r="B681" s="19"/>
      <c r="C681" s="19"/>
    </row>
    <row r="682">
      <c r="A682" s="27"/>
      <c r="B682" s="19"/>
      <c r="C682" s="19"/>
    </row>
    <row r="683">
      <c r="A683" s="27"/>
      <c r="B683" s="19"/>
      <c r="C683" s="19"/>
    </row>
    <row r="684">
      <c r="A684" s="27"/>
      <c r="B684" s="19"/>
      <c r="C684" s="19"/>
    </row>
    <row r="685">
      <c r="A685" s="27"/>
      <c r="B685" s="19"/>
      <c r="C685" s="19"/>
    </row>
    <row r="686">
      <c r="A686" s="27"/>
      <c r="B686" s="19"/>
      <c r="C686" s="19"/>
    </row>
    <row r="687">
      <c r="A687" s="27"/>
      <c r="B687" s="19"/>
      <c r="C687" s="19"/>
    </row>
    <row r="688">
      <c r="A688" s="27"/>
      <c r="B688" s="19"/>
      <c r="C688" s="19"/>
    </row>
    <row r="689">
      <c r="A689" s="27"/>
      <c r="B689" s="19"/>
      <c r="C689" s="19"/>
    </row>
    <row r="690">
      <c r="A690" s="27"/>
      <c r="B690" s="19"/>
      <c r="C690" s="19"/>
    </row>
    <row r="691">
      <c r="A691" s="27"/>
      <c r="B691" s="19"/>
      <c r="C691" s="19"/>
    </row>
    <row r="692">
      <c r="A692" s="27"/>
      <c r="B692" s="19"/>
      <c r="C692" s="19"/>
    </row>
    <row r="693">
      <c r="A693" s="27"/>
      <c r="B693" s="19"/>
      <c r="C693" s="19"/>
    </row>
    <row r="694">
      <c r="A694" s="27"/>
      <c r="B694" s="19"/>
      <c r="C694" s="19"/>
    </row>
    <row r="695">
      <c r="A695" s="27"/>
      <c r="B695" s="19"/>
      <c r="C695" s="19"/>
    </row>
    <row r="696">
      <c r="A696" s="27"/>
      <c r="B696" s="19"/>
      <c r="C696" s="19"/>
    </row>
    <row r="697">
      <c r="A697" s="27"/>
      <c r="B697" s="19"/>
      <c r="C697" s="19"/>
    </row>
    <row r="698">
      <c r="A698" s="27"/>
      <c r="B698" s="19"/>
      <c r="C698" s="19"/>
    </row>
    <row r="699">
      <c r="A699" s="27"/>
      <c r="B699" s="19"/>
      <c r="C699" s="19"/>
    </row>
    <row r="700">
      <c r="A700" s="27"/>
      <c r="B700" s="19"/>
      <c r="C700" s="19"/>
    </row>
    <row r="701">
      <c r="A701" s="27"/>
      <c r="B701" s="19"/>
      <c r="C701" s="19"/>
    </row>
    <row r="702">
      <c r="A702" s="27"/>
      <c r="B702" s="19"/>
      <c r="C702" s="19"/>
    </row>
    <row r="703">
      <c r="A703" s="27"/>
      <c r="B703" s="19"/>
      <c r="C703" s="19"/>
    </row>
    <row r="704">
      <c r="A704" s="27"/>
      <c r="B704" s="19"/>
      <c r="C704" s="19"/>
    </row>
    <row r="705">
      <c r="A705" s="27"/>
      <c r="B705" s="19"/>
      <c r="C705" s="19"/>
    </row>
    <row r="706">
      <c r="A706" s="27"/>
      <c r="B706" s="19"/>
      <c r="C706" s="19"/>
    </row>
    <row r="707">
      <c r="A707" s="27"/>
      <c r="B707" s="19"/>
      <c r="C707" s="19"/>
    </row>
    <row r="708">
      <c r="A708" s="27"/>
      <c r="B708" s="19"/>
      <c r="C708" s="19"/>
    </row>
    <row r="709">
      <c r="A709" s="27"/>
      <c r="B709" s="19"/>
      <c r="C709" s="19"/>
    </row>
    <row r="710">
      <c r="A710" s="27"/>
      <c r="B710" s="19"/>
      <c r="C710" s="19"/>
    </row>
    <row r="711">
      <c r="A711" s="27"/>
      <c r="B711" s="19"/>
      <c r="C711" s="19"/>
    </row>
    <row r="712">
      <c r="A712" s="27"/>
      <c r="B712" s="19"/>
      <c r="C712" s="19"/>
    </row>
    <row r="713">
      <c r="A713" s="27"/>
      <c r="B713" s="19"/>
      <c r="C713" s="19"/>
    </row>
    <row r="714">
      <c r="A714" s="27"/>
      <c r="B714" s="19"/>
      <c r="C714" s="19"/>
    </row>
    <row r="715">
      <c r="A715" s="27"/>
      <c r="B715" s="19"/>
      <c r="C715" s="19"/>
    </row>
    <row r="716">
      <c r="A716" s="27"/>
      <c r="B716" s="19"/>
      <c r="C716" s="19"/>
    </row>
    <row r="717">
      <c r="A717" s="27"/>
      <c r="B717" s="19"/>
      <c r="C717" s="19"/>
    </row>
    <row r="718">
      <c r="A718" s="27"/>
      <c r="B718" s="19"/>
      <c r="C718" s="19"/>
    </row>
    <row r="719">
      <c r="A719" s="27"/>
      <c r="B719" s="19"/>
      <c r="C719" s="19"/>
    </row>
    <row r="720">
      <c r="A720" s="27"/>
      <c r="B720" s="19"/>
      <c r="C720" s="19"/>
    </row>
    <row r="721">
      <c r="A721" s="27"/>
      <c r="B721" s="19"/>
      <c r="C721" s="19"/>
    </row>
    <row r="722">
      <c r="A722" s="27"/>
      <c r="B722" s="19"/>
      <c r="C722" s="19"/>
    </row>
    <row r="723">
      <c r="A723" s="27"/>
      <c r="B723" s="19"/>
      <c r="C723" s="19"/>
    </row>
    <row r="724">
      <c r="A724" s="27"/>
      <c r="B724" s="19"/>
      <c r="C724" s="19"/>
    </row>
    <row r="725">
      <c r="A725" s="27"/>
      <c r="B725" s="19"/>
      <c r="C725" s="19"/>
    </row>
    <row r="726">
      <c r="A726" s="27"/>
      <c r="B726" s="19"/>
      <c r="C726" s="19"/>
    </row>
    <row r="727">
      <c r="A727" s="27"/>
      <c r="B727" s="19"/>
      <c r="C727" s="19"/>
    </row>
    <row r="728">
      <c r="A728" s="27"/>
      <c r="B728" s="19"/>
      <c r="C728" s="19"/>
    </row>
    <row r="729">
      <c r="A729" s="27"/>
      <c r="B729" s="19"/>
      <c r="C729" s="19"/>
    </row>
    <row r="730">
      <c r="A730" s="27"/>
      <c r="B730" s="19"/>
      <c r="C730" s="19"/>
    </row>
    <row r="731">
      <c r="A731" s="27"/>
      <c r="B731" s="19"/>
      <c r="C731" s="19"/>
    </row>
    <row r="732">
      <c r="A732" s="27"/>
      <c r="B732" s="19"/>
      <c r="C732" s="19"/>
    </row>
    <row r="733">
      <c r="A733" s="27"/>
      <c r="B733" s="19"/>
      <c r="C733" s="19"/>
    </row>
    <row r="734">
      <c r="A734" s="27"/>
      <c r="B734" s="19"/>
      <c r="C734" s="19"/>
    </row>
    <row r="735">
      <c r="A735" s="27"/>
      <c r="B735" s="19"/>
      <c r="C735" s="19"/>
    </row>
    <row r="736">
      <c r="A736" s="27"/>
      <c r="B736" s="19"/>
      <c r="C736" s="19"/>
    </row>
    <row r="737">
      <c r="A737" s="27"/>
      <c r="B737" s="19"/>
      <c r="C737" s="19"/>
    </row>
    <row r="738">
      <c r="A738" s="27"/>
      <c r="B738" s="19"/>
      <c r="C738" s="19"/>
    </row>
    <row r="739">
      <c r="A739" s="27"/>
      <c r="B739" s="19"/>
      <c r="C739" s="19"/>
    </row>
    <row r="740">
      <c r="A740" s="27"/>
      <c r="B740" s="19"/>
      <c r="C740" s="19"/>
    </row>
    <row r="741">
      <c r="A741" s="27"/>
      <c r="B741" s="19"/>
      <c r="C741" s="19"/>
    </row>
    <row r="742">
      <c r="A742" s="27"/>
      <c r="B742" s="19"/>
      <c r="C742" s="19"/>
    </row>
    <row r="743">
      <c r="A743" s="27"/>
      <c r="B743" s="19"/>
      <c r="C743" s="19"/>
    </row>
    <row r="744">
      <c r="A744" s="27"/>
      <c r="B744" s="19"/>
      <c r="C744" s="19"/>
    </row>
    <row r="745">
      <c r="A745" s="27"/>
      <c r="B745" s="19"/>
      <c r="C745" s="19"/>
    </row>
    <row r="746">
      <c r="A746" s="27"/>
      <c r="B746" s="19"/>
      <c r="C746" s="19"/>
    </row>
    <row r="747">
      <c r="A747" s="27"/>
      <c r="B747" s="19"/>
      <c r="C747" s="19"/>
    </row>
    <row r="748">
      <c r="A748" s="27"/>
      <c r="B748" s="19"/>
      <c r="C748" s="19"/>
    </row>
    <row r="749">
      <c r="A749" s="27"/>
      <c r="B749" s="19"/>
      <c r="C749" s="19"/>
    </row>
    <row r="750">
      <c r="A750" s="27"/>
      <c r="B750" s="19"/>
      <c r="C750" s="19"/>
    </row>
    <row r="751">
      <c r="A751" s="27"/>
      <c r="B751" s="19"/>
      <c r="C751" s="19"/>
    </row>
    <row r="752">
      <c r="A752" s="27"/>
      <c r="B752" s="19"/>
      <c r="C752" s="19"/>
    </row>
    <row r="753">
      <c r="A753" s="27"/>
      <c r="B753" s="19"/>
      <c r="C753" s="19"/>
    </row>
    <row r="754">
      <c r="A754" s="27"/>
      <c r="B754" s="19"/>
      <c r="C754" s="19"/>
    </row>
    <row r="755">
      <c r="A755" s="27"/>
      <c r="B755" s="19"/>
      <c r="C755" s="19"/>
    </row>
    <row r="756">
      <c r="A756" s="27"/>
      <c r="B756" s="19"/>
      <c r="C756" s="19"/>
    </row>
    <row r="757">
      <c r="A757" s="27"/>
      <c r="B757" s="19"/>
      <c r="C757" s="19"/>
    </row>
    <row r="758">
      <c r="A758" s="27"/>
      <c r="B758" s="19"/>
      <c r="C758" s="19"/>
    </row>
    <row r="759">
      <c r="A759" s="27"/>
      <c r="B759" s="19"/>
      <c r="C759" s="19"/>
    </row>
    <row r="760">
      <c r="A760" s="27"/>
      <c r="B760" s="19"/>
      <c r="C760" s="19"/>
    </row>
    <row r="761">
      <c r="A761" s="27"/>
      <c r="B761" s="19"/>
      <c r="C761" s="19"/>
    </row>
    <row r="762">
      <c r="A762" s="27"/>
      <c r="B762" s="19"/>
      <c r="C762" s="19"/>
    </row>
    <row r="763">
      <c r="A763" s="27"/>
      <c r="B763" s="19"/>
      <c r="C763" s="19"/>
    </row>
    <row r="764">
      <c r="A764" s="27"/>
      <c r="B764" s="19"/>
      <c r="C764" s="19"/>
    </row>
    <row r="765">
      <c r="A765" s="27"/>
      <c r="B765" s="19"/>
      <c r="C765" s="19"/>
    </row>
    <row r="766">
      <c r="A766" s="27"/>
      <c r="B766" s="19"/>
      <c r="C766" s="19"/>
    </row>
    <row r="767">
      <c r="A767" s="27"/>
      <c r="B767" s="19"/>
      <c r="C767" s="19"/>
    </row>
    <row r="768">
      <c r="A768" s="27"/>
      <c r="B768" s="19"/>
      <c r="C768" s="19"/>
    </row>
    <row r="769">
      <c r="A769" s="27"/>
      <c r="B769" s="19"/>
      <c r="C769" s="19"/>
    </row>
    <row r="770">
      <c r="A770" s="27"/>
      <c r="B770" s="19"/>
      <c r="C770" s="19"/>
    </row>
    <row r="771">
      <c r="A771" s="27"/>
      <c r="B771" s="19"/>
      <c r="C771" s="19"/>
    </row>
    <row r="772">
      <c r="A772" s="27"/>
      <c r="B772" s="19"/>
      <c r="C772" s="19"/>
    </row>
    <row r="773">
      <c r="A773" s="27"/>
      <c r="B773" s="19"/>
      <c r="C773" s="19"/>
    </row>
    <row r="774">
      <c r="A774" s="27"/>
      <c r="B774" s="19"/>
      <c r="C774" s="19"/>
    </row>
    <row r="775">
      <c r="A775" s="27"/>
      <c r="B775" s="19"/>
      <c r="C775" s="19"/>
    </row>
    <row r="776">
      <c r="A776" s="27"/>
      <c r="B776" s="19"/>
      <c r="C776" s="19"/>
    </row>
    <row r="777">
      <c r="A777" s="27"/>
      <c r="B777" s="19"/>
      <c r="C777" s="19"/>
    </row>
    <row r="778">
      <c r="A778" s="27"/>
      <c r="B778" s="19"/>
      <c r="C778" s="19"/>
    </row>
    <row r="779">
      <c r="A779" s="27"/>
      <c r="B779" s="19"/>
      <c r="C779" s="19"/>
    </row>
    <row r="780">
      <c r="A780" s="27"/>
      <c r="B780" s="19"/>
      <c r="C780" s="19"/>
    </row>
    <row r="781">
      <c r="A781" s="27"/>
      <c r="B781" s="19"/>
      <c r="C781" s="19"/>
    </row>
    <row r="782">
      <c r="A782" s="27"/>
      <c r="B782" s="19"/>
      <c r="C782" s="19"/>
    </row>
    <row r="783">
      <c r="A783" s="27"/>
      <c r="B783" s="19"/>
      <c r="C783" s="19"/>
    </row>
    <row r="784">
      <c r="A784" s="27"/>
      <c r="B784" s="19"/>
      <c r="C784" s="19"/>
    </row>
    <row r="785">
      <c r="A785" s="27"/>
      <c r="B785" s="19"/>
      <c r="C785" s="19"/>
    </row>
    <row r="786">
      <c r="A786" s="27"/>
      <c r="B786" s="19"/>
      <c r="C786" s="19"/>
    </row>
    <row r="787">
      <c r="A787" s="27"/>
      <c r="B787" s="19"/>
      <c r="C787" s="19"/>
    </row>
    <row r="788">
      <c r="A788" s="27"/>
      <c r="B788" s="19"/>
      <c r="C788" s="19"/>
    </row>
    <row r="789">
      <c r="A789" s="27"/>
      <c r="B789" s="19"/>
      <c r="C789" s="19"/>
    </row>
    <row r="790">
      <c r="A790" s="27"/>
      <c r="B790" s="19"/>
      <c r="C790" s="19"/>
    </row>
    <row r="791">
      <c r="A791" s="27"/>
      <c r="B791" s="19"/>
      <c r="C791" s="19"/>
    </row>
    <row r="792">
      <c r="A792" s="27"/>
      <c r="B792" s="19"/>
      <c r="C792" s="19"/>
    </row>
    <row r="793">
      <c r="A793" s="27"/>
      <c r="B793" s="19"/>
      <c r="C793" s="19"/>
    </row>
    <row r="794">
      <c r="A794" s="27"/>
      <c r="B794" s="19"/>
      <c r="C794" s="19"/>
    </row>
    <row r="795">
      <c r="A795" s="27"/>
      <c r="B795" s="19"/>
      <c r="C795" s="19"/>
    </row>
    <row r="796">
      <c r="A796" s="27"/>
      <c r="B796" s="19"/>
      <c r="C796" s="19"/>
    </row>
    <row r="797">
      <c r="A797" s="27"/>
      <c r="B797" s="19"/>
      <c r="C797" s="19"/>
    </row>
    <row r="798">
      <c r="A798" s="27"/>
      <c r="B798" s="19"/>
      <c r="C798" s="19"/>
    </row>
    <row r="799">
      <c r="A799" s="27"/>
      <c r="B799" s="19"/>
      <c r="C799" s="19"/>
    </row>
    <row r="800">
      <c r="A800" s="27"/>
      <c r="B800" s="19"/>
      <c r="C800" s="19"/>
    </row>
    <row r="801">
      <c r="A801" s="27"/>
      <c r="B801" s="19"/>
      <c r="C801" s="19"/>
    </row>
    <row r="802">
      <c r="A802" s="27"/>
      <c r="B802" s="19"/>
      <c r="C802" s="19"/>
    </row>
    <row r="803">
      <c r="A803" s="27"/>
      <c r="B803" s="19"/>
      <c r="C803" s="19"/>
    </row>
    <row r="804">
      <c r="A804" s="27"/>
      <c r="B804" s="19"/>
      <c r="C804" s="19"/>
    </row>
    <row r="805">
      <c r="A805" s="27"/>
      <c r="B805" s="19"/>
      <c r="C805" s="19"/>
    </row>
    <row r="806">
      <c r="A806" s="27"/>
      <c r="B806" s="19"/>
      <c r="C806" s="19"/>
    </row>
    <row r="807">
      <c r="A807" s="27"/>
      <c r="B807" s="19"/>
      <c r="C807" s="19"/>
    </row>
    <row r="808">
      <c r="A808" s="27"/>
      <c r="B808" s="19"/>
      <c r="C808" s="19"/>
    </row>
    <row r="809">
      <c r="A809" s="27"/>
      <c r="B809" s="19"/>
      <c r="C809" s="19"/>
    </row>
    <row r="810">
      <c r="A810" s="27"/>
      <c r="B810" s="19"/>
      <c r="C810" s="19"/>
    </row>
    <row r="811">
      <c r="A811" s="27"/>
      <c r="B811" s="19"/>
      <c r="C811" s="19"/>
    </row>
    <row r="812">
      <c r="A812" s="27"/>
      <c r="B812" s="19"/>
      <c r="C812" s="19"/>
    </row>
    <row r="813">
      <c r="A813" s="27"/>
      <c r="B813" s="19"/>
      <c r="C813" s="19"/>
    </row>
    <row r="814">
      <c r="A814" s="27"/>
      <c r="B814" s="19"/>
      <c r="C814" s="19"/>
    </row>
    <row r="815">
      <c r="A815" s="27"/>
      <c r="B815" s="19"/>
      <c r="C815" s="19"/>
    </row>
    <row r="816">
      <c r="A816" s="27"/>
      <c r="B816" s="19"/>
      <c r="C816" s="19"/>
    </row>
    <row r="817">
      <c r="A817" s="27"/>
      <c r="B817" s="19"/>
      <c r="C817" s="19"/>
    </row>
    <row r="818">
      <c r="A818" s="27"/>
      <c r="B818" s="19"/>
      <c r="C818" s="19"/>
    </row>
    <row r="819">
      <c r="A819" s="27"/>
      <c r="B819" s="19"/>
      <c r="C819" s="19"/>
    </row>
    <row r="820">
      <c r="A820" s="27"/>
      <c r="B820" s="19"/>
      <c r="C820" s="19"/>
    </row>
    <row r="821">
      <c r="A821" s="27"/>
      <c r="B821" s="19"/>
      <c r="C821" s="19"/>
    </row>
    <row r="822">
      <c r="A822" s="27"/>
      <c r="B822" s="19"/>
      <c r="C822" s="19"/>
    </row>
    <row r="823">
      <c r="A823" s="27"/>
      <c r="B823" s="19"/>
      <c r="C823" s="19"/>
    </row>
    <row r="824">
      <c r="A824" s="27"/>
      <c r="B824" s="19"/>
      <c r="C824" s="19"/>
    </row>
    <row r="825">
      <c r="A825" s="27"/>
      <c r="B825" s="19"/>
      <c r="C825" s="19"/>
    </row>
    <row r="826">
      <c r="A826" s="27"/>
      <c r="B826" s="19"/>
      <c r="C826" s="19"/>
    </row>
    <row r="827">
      <c r="A827" s="27"/>
      <c r="B827" s="19"/>
      <c r="C827" s="19"/>
    </row>
    <row r="828">
      <c r="A828" s="27"/>
      <c r="B828" s="19"/>
      <c r="C828" s="19"/>
    </row>
    <row r="829">
      <c r="A829" s="27"/>
      <c r="B829" s="19"/>
      <c r="C829" s="19"/>
    </row>
    <row r="830">
      <c r="A830" s="27"/>
      <c r="B830" s="19"/>
      <c r="C830" s="19"/>
    </row>
    <row r="831">
      <c r="A831" s="27"/>
      <c r="B831" s="19"/>
      <c r="C831" s="19"/>
    </row>
    <row r="832">
      <c r="A832" s="27"/>
      <c r="B832" s="19"/>
      <c r="C832" s="19"/>
    </row>
    <row r="833">
      <c r="A833" s="27"/>
      <c r="B833" s="19"/>
      <c r="C833" s="19"/>
    </row>
    <row r="834">
      <c r="A834" s="27"/>
      <c r="B834" s="19"/>
      <c r="C834" s="19"/>
    </row>
    <row r="835">
      <c r="A835" s="27"/>
      <c r="B835" s="19"/>
      <c r="C835" s="19"/>
    </row>
    <row r="836">
      <c r="A836" s="27"/>
      <c r="B836" s="19"/>
      <c r="C836" s="19"/>
    </row>
    <row r="837">
      <c r="A837" s="27"/>
      <c r="B837" s="19"/>
      <c r="C837" s="19"/>
    </row>
    <row r="838">
      <c r="A838" s="27"/>
      <c r="B838" s="19"/>
      <c r="C838" s="19"/>
    </row>
    <row r="839">
      <c r="A839" s="27"/>
      <c r="B839" s="19"/>
      <c r="C839" s="19"/>
    </row>
    <row r="840">
      <c r="A840" s="27"/>
      <c r="B840" s="19"/>
      <c r="C840" s="19"/>
    </row>
    <row r="841">
      <c r="A841" s="27"/>
      <c r="B841" s="19"/>
      <c r="C841" s="19"/>
    </row>
    <row r="842">
      <c r="A842" s="27"/>
      <c r="B842" s="19"/>
      <c r="C842" s="19"/>
    </row>
    <row r="843">
      <c r="A843" s="27"/>
      <c r="B843" s="19"/>
      <c r="C843" s="19"/>
    </row>
    <row r="844">
      <c r="A844" s="27"/>
      <c r="B844" s="19"/>
      <c r="C844" s="19"/>
    </row>
    <row r="845">
      <c r="A845" s="27"/>
      <c r="B845" s="19"/>
      <c r="C845" s="19"/>
    </row>
    <row r="846">
      <c r="A846" s="27"/>
      <c r="B846" s="19"/>
      <c r="C846" s="19"/>
    </row>
    <row r="847">
      <c r="A847" s="27"/>
      <c r="B847" s="19"/>
      <c r="C847" s="19"/>
    </row>
    <row r="848">
      <c r="A848" s="27"/>
      <c r="B848" s="19"/>
      <c r="C848" s="19"/>
    </row>
    <row r="849">
      <c r="A849" s="27"/>
      <c r="B849" s="19"/>
      <c r="C849" s="19"/>
    </row>
    <row r="850">
      <c r="A850" s="27"/>
      <c r="B850" s="19"/>
      <c r="C850" s="19"/>
    </row>
    <row r="851">
      <c r="A851" s="27"/>
      <c r="B851" s="19"/>
      <c r="C851" s="19"/>
    </row>
    <row r="852">
      <c r="A852" s="27"/>
      <c r="B852" s="19"/>
      <c r="C852" s="19"/>
    </row>
    <row r="853">
      <c r="A853" s="27"/>
      <c r="B853" s="19"/>
      <c r="C853" s="19"/>
    </row>
    <row r="854">
      <c r="A854" s="27"/>
      <c r="B854" s="19"/>
      <c r="C854" s="19"/>
    </row>
    <row r="855">
      <c r="A855" s="27"/>
      <c r="B855" s="19"/>
      <c r="C855" s="19"/>
    </row>
    <row r="856">
      <c r="A856" s="27"/>
      <c r="B856" s="19"/>
      <c r="C856" s="19"/>
    </row>
    <row r="857">
      <c r="A857" s="27"/>
      <c r="B857" s="19"/>
      <c r="C857" s="19"/>
    </row>
    <row r="858">
      <c r="A858" s="27"/>
      <c r="B858" s="19"/>
      <c r="C858" s="19"/>
    </row>
    <row r="859">
      <c r="A859" s="27"/>
      <c r="B859" s="19"/>
      <c r="C859" s="19"/>
    </row>
    <row r="860">
      <c r="A860" s="27"/>
      <c r="B860" s="19"/>
      <c r="C860" s="19"/>
    </row>
    <row r="861">
      <c r="A861" s="27"/>
      <c r="B861" s="19"/>
      <c r="C861" s="19"/>
    </row>
    <row r="862">
      <c r="A862" s="27"/>
      <c r="B862" s="19"/>
      <c r="C862" s="19"/>
    </row>
    <row r="863">
      <c r="A863" s="27"/>
      <c r="B863" s="19"/>
      <c r="C863" s="19"/>
    </row>
    <row r="864">
      <c r="A864" s="27"/>
      <c r="B864" s="19"/>
      <c r="C864" s="19"/>
    </row>
    <row r="865">
      <c r="A865" s="27"/>
      <c r="B865" s="19"/>
      <c r="C865" s="19"/>
    </row>
    <row r="866">
      <c r="A866" s="27"/>
      <c r="B866" s="19"/>
      <c r="C866" s="19"/>
    </row>
    <row r="867">
      <c r="A867" s="27"/>
      <c r="B867" s="19"/>
      <c r="C867" s="19"/>
    </row>
    <row r="868">
      <c r="A868" s="27"/>
      <c r="B868" s="19"/>
      <c r="C868" s="19"/>
    </row>
    <row r="869">
      <c r="A869" s="27"/>
      <c r="B869" s="19"/>
      <c r="C869" s="19"/>
    </row>
    <row r="870">
      <c r="A870" s="27"/>
      <c r="B870" s="19"/>
      <c r="C870" s="19"/>
    </row>
    <row r="871">
      <c r="A871" s="27"/>
      <c r="B871" s="19"/>
      <c r="C871" s="19"/>
    </row>
    <row r="872">
      <c r="A872" s="27"/>
      <c r="B872" s="19"/>
      <c r="C872" s="19"/>
    </row>
    <row r="873">
      <c r="A873" s="27"/>
      <c r="B873" s="19"/>
      <c r="C873" s="19"/>
    </row>
    <row r="874">
      <c r="A874" s="27"/>
      <c r="B874" s="19"/>
      <c r="C874" s="19"/>
    </row>
    <row r="875">
      <c r="A875" s="27"/>
      <c r="B875" s="19"/>
      <c r="C875" s="19"/>
    </row>
    <row r="876">
      <c r="A876" s="27"/>
      <c r="B876" s="19"/>
      <c r="C876" s="19"/>
    </row>
    <row r="877">
      <c r="A877" s="27"/>
      <c r="B877" s="19"/>
      <c r="C877" s="19"/>
    </row>
    <row r="878">
      <c r="A878" s="27"/>
      <c r="B878" s="19"/>
      <c r="C878" s="19"/>
    </row>
    <row r="879">
      <c r="A879" s="27"/>
      <c r="B879" s="19"/>
      <c r="C879" s="19"/>
    </row>
    <row r="880">
      <c r="A880" s="27"/>
      <c r="B880" s="19"/>
      <c r="C880" s="19"/>
    </row>
    <row r="881">
      <c r="A881" s="27"/>
      <c r="B881" s="19"/>
      <c r="C881" s="19"/>
    </row>
    <row r="882">
      <c r="A882" s="27"/>
      <c r="B882" s="19"/>
      <c r="C882" s="19"/>
    </row>
    <row r="883">
      <c r="A883" s="27"/>
      <c r="B883" s="19"/>
      <c r="C883" s="19"/>
    </row>
    <row r="884">
      <c r="A884" s="27"/>
      <c r="B884" s="19"/>
      <c r="C884" s="19"/>
    </row>
    <row r="885">
      <c r="A885" s="27"/>
      <c r="B885" s="19"/>
      <c r="C885" s="19"/>
    </row>
    <row r="886">
      <c r="A886" s="27"/>
      <c r="B886" s="19"/>
      <c r="C886" s="19"/>
    </row>
    <row r="887">
      <c r="A887" s="27"/>
      <c r="B887" s="19"/>
      <c r="C887" s="19"/>
    </row>
    <row r="888">
      <c r="A888" s="27"/>
      <c r="B888" s="19"/>
      <c r="C888" s="19"/>
    </row>
    <row r="889">
      <c r="A889" s="27"/>
      <c r="B889" s="19"/>
      <c r="C889" s="19"/>
    </row>
    <row r="890">
      <c r="A890" s="27"/>
      <c r="B890" s="19"/>
      <c r="C890" s="19"/>
    </row>
    <row r="891">
      <c r="A891" s="27"/>
      <c r="B891" s="19"/>
      <c r="C891" s="19"/>
    </row>
    <row r="892">
      <c r="A892" s="27"/>
      <c r="B892" s="19"/>
      <c r="C892" s="19"/>
    </row>
    <row r="893">
      <c r="A893" s="27"/>
      <c r="B893" s="19"/>
      <c r="C893" s="19"/>
    </row>
    <row r="894">
      <c r="A894" s="27"/>
      <c r="B894" s="19"/>
      <c r="C894" s="19"/>
    </row>
    <row r="895">
      <c r="A895" s="27"/>
      <c r="B895" s="19"/>
      <c r="C895" s="19"/>
    </row>
    <row r="896">
      <c r="A896" s="27"/>
      <c r="B896" s="19"/>
      <c r="C896" s="19"/>
    </row>
    <row r="897">
      <c r="A897" s="27"/>
      <c r="B897" s="19"/>
      <c r="C897" s="19"/>
    </row>
    <row r="898">
      <c r="A898" s="27"/>
      <c r="B898" s="19"/>
      <c r="C898" s="19"/>
    </row>
    <row r="899">
      <c r="A899" s="27"/>
      <c r="B899" s="19"/>
      <c r="C899" s="19"/>
    </row>
    <row r="900">
      <c r="A900" s="27"/>
      <c r="B900" s="19"/>
      <c r="C900" s="19"/>
    </row>
    <row r="901">
      <c r="A901" s="27"/>
      <c r="B901" s="19"/>
      <c r="C901" s="19"/>
    </row>
    <row r="902">
      <c r="A902" s="27"/>
      <c r="B902" s="19"/>
      <c r="C902" s="19"/>
    </row>
    <row r="903">
      <c r="A903" s="27"/>
      <c r="B903" s="19"/>
      <c r="C903" s="19"/>
    </row>
    <row r="904">
      <c r="A904" s="27"/>
      <c r="B904" s="19"/>
      <c r="C904" s="19"/>
    </row>
    <row r="905">
      <c r="A905" s="27"/>
      <c r="B905" s="19"/>
      <c r="C905" s="19"/>
    </row>
    <row r="906">
      <c r="A906" s="27"/>
      <c r="B906" s="19"/>
      <c r="C906" s="19"/>
    </row>
    <row r="907">
      <c r="A907" s="27"/>
      <c r="B907" s="19"/>
      <c r="C907" s="19"/>
    </row>
    <row r="908">
      <c r="A908" s="27"/>
      <c r="B908" s="19"/>
      <c r="C908" s="19"/>
    </row>
    <row r="909">
      <c r="A909" s="27"/>
      <c r="B909" s="19"/>
      <c r="C909" s="19"/>
    </row>
    <row r="910">
      <c r="A910" s="27"/>
      <c r="B910" s="19"/>
      <c r="C910" s="19"/>
    </row>
    <row r="911">
      <c r="A911" s="27"/>
      <c r="B911" s="19"/>
      <c r="C911" s="19"/>
    </row>
    <row r="912">
      <c r="A912" s="27"/>
      <c r="B912" s="19"/>
      <c r="C912" s="19"/>
    </row>
    <row r="913">
      <c r="A913" s="27"/>
      <c r="B913" s="19"/>
      <c r="C913" s="19"/>
    </row>
    <row r="914">
      <c r="A914" s="27"/>
      <c r="B914" s="19"/>
      <c r="C914" s="19"/>
    </row>
    <row r="915">
      <c r="A915" s="27"/>
      <c r="B915" s="19"/>
      <c r="C915" s="19"/>
    </row>
    <row r="916">
      <c r="A916" s="27"/>
      <c r="B916" s="19"/>
      <c r="C916" s="19"/>
    </row>
    <row r="917">
      <c r="A917" s="27"/>
      <c r="B917" s="19"/>
      <c r="C917" s="19"/>
    </row>
    <row r="918">
      <c r="A918" s="27"/>
      <c r="B918" s="19"/>
      <c r="C918" s="19"/>
    </row>
    <row r="919">
      <c r="A919" s="27"/>
      <c r="B919" s="19"/>
      <c r="C919" s="19"/>
    </row>
    <row r="920">
      <c r="A920" s="27"/>
      <c r="B920" s="19"/>
      <c r="C920" s="19"/>
    </row>
    <row r="921">
      <c r="A921" s="27"/>
      <c r="B921" s="19"/>
      <c r="C921" s="19"/>
    </row>
    <row r="922">
      <c r="A922" s="27"/>
      <c r="B922" s="19"/>
      <c r="C922" s="19"/>
    </row>
    <row r="923">
      <c r="A923" s="27"/>
      <c r="B923" s="19"/>
      <c r="C923" s="19"/>
    </row>
    <row r="924">
      <c r="A924" s="27"/>
      <c r="B924" s="19"/>
      <c r="C924" s="19"/>
    </row>
    <row r="925">
      <c r="A925" s="27"/>
      <c r="B925" s="19"/>
      <c r="C925" s="19"/>
    </row>
    <row r="926">
      <c r="A926" s="27"/>
      <c r="B926" s="19"/>
      <c r="C926" s="19"/>
    </row>
    <row r="927">
      <c r="A927" s="27"/>
      <c r="B927" s="19"/>
      <c r="C927" s="19"/>
    </row>
    <row r="928">
      <c r="A928" s="27"/>
      <c r="B928" s="19"/>
      <c r="C928" s="19"/>
    </row>
    <row r="929">
      <c r="A929" s="27"/>
      <c r="B929" s="19"/>
      <c r="C929" s="19"/>
    </row>
    <row r="930">
      <c r="A930" s="27"/>
      <c r="B930" s="19"/>
      <c r="C930" s="19"/>
    </row>
    <row r="931">
      <c r="A931" s="27"/>
      <c r="B931" s="19"/>
      <c r="C931" s="19"/>
    </row>
    <row r="932">
      <c r="A932" s="27"/>
      <c r="B932" s="19"/>
      <c r="C932" s="19"/>
    </row>
    <row r="933">
      <c r="A933" s="27"/>
      <c r="B933" s="19"/>
      <c r="C933" s="19"/>
    </row>
    <row r="934">
      <c r="A934" s="27"/>
      <c r="B934" s="19"/>
      <c r="C934" s="19"/>
    </row>
    <row r="935">
      <c r="A935" s="27"/>
      <c r="B935" s="19"/>
      <c r="C935" s="19"/>
    </row>
    <row r="936">
      <c r="A936" s="27"/>
      <c r="B936" s="19"/>
      <c r="C936" s="19"/>
    </row>
    <row r="937">
      <c r="A937" s="27"/>
      <c r="B937" s="19"/>
      <c r="C937" s="19"/>
    </row>
    <row r="938">
      <c r="A938" s="27"/>
      <c r="B938" s="19"/>
      <c r="C938" s="19"/>
    </row>
    <row r="939">
      <c r="A939" s="27"/>
      <c r="B939" s="19"/>
      <c r="C939" s="19"/>
    </row>
    <row r="940">
      <c r="A940" s="27"/>
      <c r="B940" s="19"/>
      <c r="C940" s="19"/>
    </row>
    <row r="941">
      <c r="A941" s="27"/>
      <c r="B941" s="19"/>
      <c r="C941" s="19"/>
    </row>
    <row r="942">
      <c r="A942" s="27"/>
      <c r="B942" s="19"/>
      <c r="C942" s="19"/>
    </row>
    <row r="943">
      <c r="A943" s="27"/>
      <c r="B943" s="19"/>
      <c r="C943" s="19"/>
    </row>
    <row r="944">
      <c r="A944" s="27"/>
      <c r="B944" s="19"/>
      <c r="C944" s="19"/>
    </row>
    <row r="945">
      <c r="A945" s="27"/>
      <c r="B945" s="19"/>
      <c r="C945" s="19"/>
    </row>
    <row r="946">
      <c r="A946" s="27"/>
      <c r="B946" s="19"/>
      <c r="C946" s="19"/>
    </row>
    <row r="947">
      <c r="A947" s="27"/>
      <c r="B947" s="19"/>
      <c r="C947" s="19"/>
    </row>
    <row r="948">
      <c r="A948" s="27"/>
      <c r="B948" s="19"/>
      <c r="C948" s="19"/>
    </row>
    <row r="949">
      <c r="A949" s="27"/>
      <c r="B949" s="19"/>
      <c r="C949" s="19"/>
    </row>
    <row r="950">
      <c r="A950" s="27"/>
      <c r="B950" s="19"/>
      <c r="C950" s="19"/>
    </row>
    <row r="951">
      <c r="A951" s="27"/>
      <c r="B951" s="19"/>
      <c r="C951" s="19"/>
    </row>
    <row r="952">
      <c r="A952" s="27"/>
      <c r="B952" s="19"/>
      <c r="C952" s="19"/>
    </row>
    <row r="953">
      <c r="A953" s="27"/>
      <c r="B953" s="19"/>
      <c r="C953" s="19"/>
    </row>
    <row r="954">
      <c r="A954" s="27"/>
      <c r="B954" s="19"/>
      <c r="C954" s="19"/>
    </row>
    <row r="955">
      <c r="A955" s="27"/>
      <c r="B955" s="19"/>
      <c r="C955" s="19"/>
    </row>
    <row r="956">
      <c r="A956" s="27"/>
      <c r="B956" s="19"/>
      <c r="C956" s="19"/>
    </row>
    <row r="957">
      <c r="A957" s="27"/>
      <c r="B957" s="19"/>
      <c r="C957" s="19"/>
    </row>
    <row r="958">
      <c r="A958" s="27"/>
      <c r="B958" s="19"/>
      <c r="C958" s="19"/>
    </row>
    <row r="959">
      <c r="A959" s="27"/>
      <c r="B959" s="19"/>
      <c r="C959" s="19"/>
    </row>
    <row r="960">
      <c r="A960" s="27"/>
      <c r="B960" s="19"/>
      <c r="C960" s="19"/>
    </row>
    <row r="961">
      <c r="A961" s="27"/>
      <c r="B961" s="19"/>
      <c r="C961" s="19"/>
    </row>
    <row r="962">
      <c r="A962" s="27"/>
      <c r="B962" s="19"/>
      <c r="C962" s="19"/>
    </row>
    <row r="963">
      <c r="A963" s="27"/>
      <c r="B963" s="19"/>
      <c r="C963" s="19"/>
    </row>
    <row r="964">
      <c r="A964" s="27"/>
      <c r="B964" s="19"/>
      <c r="C964" s="19"/>
    </row>
    <row r="965">
      <c r="A965" s="27"/>
      <c r="B965" s="19"/>
      <c r="C965" s="19"/>
    </row>
    <row r="966">
      <c r="A966" s="27"/>
      <c r="B966" s="19"/>
      <c r="C966" s="19"/>
    </row>
    <row r="967">
      <c r="A967" s="27"/>
      <c r="B967" s="19"/>
      <c r="C967" s="19"/>
    </row>
    <row r="968">
      <c r="A968" s="27"/>
      <c r="B968" s="19"/>
      <c r="C968" s="19"/>
    </row>
    <row r="969">
      <c r="A969" s="27"/>
      <c r="B969" s="19"/>
      <c r="C969" s="19"/>
    </row>
    <row r="970">
      <c r="A970" s="27"/>
      <c r="B970" s="19"/>
      <c r="C970" s="19"/>
    </row>
    <row r="971">
      <c r="A971" s="27"/>
      <c r="B971" s="19"/>
      <c r="C971" s="19"/>
    </row>
    <row r="972">
      <c r="A972" s="27"/>
      <c r="B972" s="19"/>
      <c r="C972" s="19"/>
    </row>
    <row r="973">
      <c r="A973" s="27"/>
      <c r="B973" s="19"/>
      <c r="C973" s="19"/>
    </row>
    <row r="974">
      <c r="A974" s="27"/>
      <c r="B974" s="19"/>
      <c r="C974" s="19"/>
    </row>
    <row r="975">
      <c r="A975" s="27"/>
      <c r="B975" s="19"/>
      <c r="C975" s="19"/>
    </row>
    <row r="976">
      <c r="A976" s="27"/>
      <c r="B976" s="19"/>
      <c r="C976" s="19"/>
    </row>
    <row r="977">
      <c r="A977" s="27"/>
      <c r="B977" s="19"/>
      <c r="C977" s="19"/>
    </row>
    <row r="978">
      <c r="A978" s="27"/>
      <c r="B978" s="19"/>
      <c r="C978" s="19"/>
    </row>
    <row r="979">
      <c r="A979" s="27"/>
      <c r="B979" s="19"/>
      <c r="C979" s="19"/>
    </row>
    <row r="980">
      <c r="A980" s="27"/>
      <c r="B980" s="19"/>
      <c r="C980" s="19"/>
    </row>
    <row r="981">
      <c r="A981" s="27"/>
      <c r="B981" s="19"/>
      <c r="C981" s="19"/>
    </row>
    <row r="982">
      <c r="A982" s="27"/>
      <c r="B982" s="19"/>
      <c r="C982" s="19"/>
    </row>
    <row r="983">
      <c r="A983" s="27"/>
      <c r="B983" s="19"/>
      <c r="C983" s="19"/>
    </row>
    <row r="984">
      <c r="A984" s="27"/>
      <c r="B984" s="19"/>
      <c r="C984" s="19"/>
    </row>
    <row r="985">
      <c r="A985" s="27"/>
      <c r="B985" s="19"/>
      <c r="C985" s="19"/>
    </row>
    <row r="986">
      <c r="A986" s="27"/>
      <c r="B986" s="19"/>
      <c r="C986" s="19"/>
    </row>
    <row r="987">
      <c r="A987" s="27"/>
      <c r="B987" s="19"/>
      <c r="C987" s="19"/>
    </row>
    <row r="988">
      <c r="A988" s="27"/>
      <c r="B988" s="19"/>
      <c r="C988" s="19"/>
    </row>
    <row r="989">
      <c r="A989" s="27"/>
      <c r="B989" s="19"/>
      <c r="C989" s="19"/>
    </row>
    <row r="990">
      <c r="A990" s="27"/>
      <c r="B990" s="19"/>
      <c r="C990" s="19"/>
    </row>
    <row r="991">
      <c r="A991" s="27"/>
      <c r="B991" s="19"/>
      <c r="C991" s="19"/>
    </row>
    <row r="992">
      <c r="A992" s="27"/>
      <c r="B992" s="19"/>
      <c r="C992" s="19"/>
    </row>
    <row r="993">
      <c r="A993" s="27"/>
      <c r="B993" s="19"/>
      <c r="C993" s="19"/>
    </row>
    <row r="994">
      <c r="A994" s="27"/>
      <c r="B994" s="19"/>
      <c r="C994" s="19"/>
    </row>
    <row r="995">
      <c r="A995" s="27"/>
      <c r="B995" s="19"/>
      <c r="C995" s="19"/>
    </row>
    <row r="996">
      <c r="A996" s="27"/>
      <c r="B996" s="19"/>
      <c r="C996" s="19"/>
    </row>
    <row r="997">
      <c r="A997" s="27"/>
      <c r="B997" s="19"/>
      <c r="C997" s="19"/>
    </row>
    <row r="998">
      <c r="A998" s="27"/>
      <c r="B998" s="19"/>
      <c r="C998" s="19"/>
    </row>
    <row r="999">
      <c r="A999" s="27"/>
      <c r="B999" s="19"/>
      <c r="C999" s="19"/>
    </row>
    <row r="1000">
      <c r="A1000" s="27"/>
      <c r="B1000" s="19"/>
      <c r="C1000" s="19"/>
    </row>
    <row r="1001">
      <c r="A1001" s="27"/>
      <c r="B1001" s="19"/>
      <c r="C1001" s="19"/>
    </row>
    <row r="1002">
      <c r="A1002" s="27"/>
      <c r="B1002" s="19"/>
      <c r="C1002" s="19"/>
    </row>
    <row r="1003">
      <c r="A1003" s="27"/>
      <c r="B1003" s="19"/>
      <c r="C1003" s="19"/>
    </row>
    <row r="1004">
      <c r="A1004" s="27"/>
      <c r="B1004" s="19"/>
      <c r="C1004" s="19"/>
    </row>
    <row r="1005">
      <c r="A1005" s="27"/>
      <c r="B1005" s="19"/>
      <c r="C1005" s="19"/>
    </row>
    <row r="1006">
      <c r="A1006" s="27"/>
      <c r="B1006" s="19"/>
      <c r="C1006" s="19"/>
    </row>
    <row r="1007">
      <c r="A1007" s="27"/>
      <c r="B1007" s="19"/>
      <c r="C1007" s="19"/>
    </row>
    <row r="1008">
      <c r="A1008" s="27"/>
      <c r="B1008" s="19"/>
      <c r="C1008" s="19"/>
    </row>
    <row r="1009">
      <c r="A1009" s="27"/>
      <c r="B1009" s="19"/>
      <c r="C1009" s="19"/>
    </row>
    <row r="1010">
      <c r="A1010" s="27"/>
      <c r="B1010" s="19"/>
      <c r="C1010" s="19"/>
    </row>
    <row r="1011">
      <c r="A1011" s="27"/>
      <c r="B1011" s="19"/>
      <c r="C1011" s="19"/>
    </row>
  </sheetData>
  <mergeCells count="13">
    <mergeCell ref="B10:D10"/>
    <mergeCell ref="B15:D15"/>
    <mergeCell ref="B19:D19"/>
    <mergeCell ref="A24:A32"/>
    <mergeCell ref="B25:B27"/>
    <mergeCell ref="B28:B29"/>
    <mergeCell ref="A1:D1"/>
    <mergeCell ref="A2:D2"/>
    <mergeCell ref="B3:D3"/>
    <mergeCell ref="B5:D5"/>
    <mergeCell ref="B6:D6"/>
    <mergeCell ref="B7:D7"/>
    <mergeCell ref="B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43.0"/>
    <col customWidth="1" min="3" max="3" width="42.5"/>
    <col customWidth="1" min="4" max="4" width="16.38"/>
    <col customWidth="1" min="5" max="5" width="21.5"/>
    <col customWidth="1" min="7" max="7" width="17.13"/>
  </cols>
  <sheetData>
    <row r="1" ht="24.0" customHeight="1">
      <c r="A1" s="41" t="s">
        <v>52</v>
      </c>
      <c r="B1" s="42" t="s">
        <v>53</v>
      </c>
      <c r="C1" s="42" t="s">
        <v>54</v>
      </c>
      <c r="D1" s="42" t="s">
        <v>55</v>
      </c>
      <c r="E1" s="42" t="s">
        <v>56</v>
      </c>
      <c r="G1" s="43" t="s">
        <v>57</v>
      </c>
      <c r="H1" s="44" t="s">
        <v>58</v>
      </c>
    </row>
    <row r="2">
      <c r="A2" s="45" t="s">
        <v>59</v>
      </c>
      <c r="B2" s="46" t="s">
        <v>60</v>
      </c>
      <c r="C2" s="47" t="s">
        <v>61</v>
      </c>
      <c r="D2" s="29" t="s">
        <v>40</v>
      </c>
      <c r="E2" s="29" t="s">
        <v>62</v>
      </c>
      <c r="H2" s="48" t="s">
        <v>63</v>
      </c>
    </row>
    <row r="3">
      <c r="D3" s="29" t="s">
        <v>64</v>
      </c>
      <c r="E3" s="29" t="s">
        <v>65</v>
      </c>
    </row>
    <row r="4">
      <c r="C4" s="44" t="s">
        <v>66</v>
      </c>
      <c r="D4" s="29" t="s">
        <v>67</v>
      </c>
      <c r="E4" s="29" t="s">
        <v>62</v>
      </c>
    </row>
    <row r="5">
      <c r="C5" s="48" t="s">
        <v>68</v>
      </c>
    </row>
    <row r="6">
      <c r="C6" s="47" t="s">
        <v>69</v>
      </c>
      <c r="D6" s="29" t="s">
        <v>40</v>
      </c>
      <c r="E6" s="29" t="s">
        <v>65</v>
      </c>
    </row>
    <row r="7">
      <c r="D7" s="29" t="s">
        <v>70</v>
      </c>
      <c r="E7" s="29" t="s">
        <v>65</v>
      </c>
    </row>
    <row r="8">
      <c r="C8" s="44" t="s">
        <v>71</v>
      </c>
    </row>
    <row r="9">
      <c r="B9" s="46" t="s">
        <v>72</v>
      </c>
      <c r="C9" s="47" t="s">
        <v>73</v>
      </c>
      <c r="D9" s="29" t="s">
        <v>74</v>
      </c>
      <c r="E9" s="29" t="s">
        <v>75</v>
      </c>
    </row>
    <row r="10">
      <c r="D10" s="29" t="s">
        <v>76</v>
      </c>
      <c r="E10" s="29" t="s">
        <v>77</v>
      </c>
    </row>
    <row r="11">
      <c r="C11" s="48" t="s">
        <v>78</v>
      </c>
    </row>
    <row r="12">
      <c r="B12" s="46" t="s">
        <v>79</v>
      </c>
      <c r="C12" s="44" t="s">
        <v>80</v>
      </c>
      <c r="D12" s="29" t="s">
        <v>40</v>
      </c>
      <c r="E12" s="29" t="s">
        <v>65</v>
      </c>
    </row>
    <row r="13">
      <c r="C13" s="48" t="s">
        <v>81</v>
      </c>
      <c r="D13" s="29" t="s">
        <v>82</v>
      </c>
    </row>
    <row r="14">
      <c r="C14" s="44" t="s">
        <v>83</v>
      </c>
    </row>
    <row r="15">
      <c r="B15" s="46" t="s">
        <v>84</v>
      </c>
      <c r="C15" s="48" t="s">
        <v>85</v>
      </c>
    </row>
    <row r="16">
      <c r="C16" s="44" t="s">
        <v>86</v>
      </c>
    </row>
    <row r="17">
      <c r="C17" s="44" t="s">
        <v>87</v>
      </c>
    </row>
    <row r="18">
      <c r="B18" s="49" t="s">
        <v>88</v>
      </c>
      <c r="C18" s="44" t="s">
        <v>89</v>
      </c>
      <c r="D18" s="29" t="s">
        <v>74</v>
      </c>
    </row>
    <row r="19">
      <c r="C19" s="44" t="s">
        <v>90</v>
      </c>
    </row>
    <row r="20">
      <c r="C20" s="48" t="s">
        <v>91</v>
      </c>
    </row>
    <row r="21">
      <c r="C21" s="44" t="s">
        <v>92</v>
      </c>
      <c r="D21" s="29" t="s">
        <v>92</v>
      </c>
      <c r="E21" s="29"/>
    </row>
    <row r="22">
      <c r="C22" s="44" t="s">
        <v>93</v>
      </c>
    </row>
    <row r="23" ht="35.25" customHeight="1">
      <c r="A23" s="45" t="s">
        <v>94</v>
      </c>
      <c r="B23" s="46" t="s">
        <v>95</v>
      </c>
    </row>
    <row r="24">
      <c r="B24" s="50" t="s">
        <v>96</v>
      </c>
      <c r="C24" s="44" t="s">
        <v>97</v>
      </c>
    </row>
    <row r="25">
      <c r="C25" s="44" t="s">
        <v>98</v>
      </c>
    </row>
    <row r="26">
      <c r="C26" s="44" t="s">
        <v>99</v>
      </c>
    </row>
    <row r="27">
      <c r="C27" s="44" t="s">
        <v>100</v>
      </c>
    </row>
    <row r="28">
      <c r="C28" s="44" t="s">
        <v>101</v>
      </c>
    </row>
    <row r="30">
      <c r="A30" s="8"/>
    </row>
  </sheetData>
  <mergeCells count="11">
    <mergeCell ref="B15:B17"/>
    <mergeCell ref="B18:B22"/>
    <mergeCell ref="A23:A28"/>
    <mergeCell ref="B24:B28"/>
    <mergeCell ref="A2:A22"/>
    <mergeCell ref="B2:B8"/>
    <mergeCell ref="C2:C3"/>
    <mergeCell ref="C6:C7"/>
    <mergeCell ref="B9:B11"/>
    <mergeCell ref="C9:C10"/>
    <mergeCell ref="B12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8.63"/>
    <col customWidth="1" min="3" max="3" width="20.63"/>
    <col customWidth="1" min="4" max="4" width="12.63"/>
    <col customWidth="1" min="5" max="5" width="15.75"/>
    <col customWidth="1" min="6" max="6" width="14.13"/>
    <col customWidth="1" min="7" max="7" width="22.25"/>
  </cols>
  <sheetData>
    <row r="1">
      <c r="A1" s="51" t="s">
        <v>102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>
      <c r="A2" s="55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56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A10" s="57"/>
      <c r="B10" s="57"/>
      <c r="C10" s="57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58"/>
      <c r="B12" s="58"/>
      <c r="C12" s="58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>
      <c r="A13" s="58"/>
      <c r="B13" s="58"/>
      <c r="C13" s="58"/>
      <c r="D13" s="54"/>
      <c r="E13" s="54"/>
      <c r="F13" s="54"/>
      <c r="G13" s="54"/>
      <c r="H13" s="54"/>
      <c r="I13" s="54"/>
      <c r="J13" s="59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>
      <c r="A14" s="58"/>
      <c r="B14" s="59"/>
      <c r="C14" s="59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>
      <c r="A31" s="51" t="s">
        <v>103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>
      <c r="A32" s="55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56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>
      <c r="C35" s="60" t="s">
        <v>104</v>
      </c>
      <c r="D35" s="60" t="s">
        <v>105</v>
      </c>
      <c r="E35" s="60" t="s">
        <v>106</v>
      </c>
      <c r="F35" s="60" t="s">
        <v>107</v>
      </c>
      <c r="G35" s="60" t="s">
        <v>108</v>
      </c>
      <c r="H35" s="60" t="s">
        <v>109</v>
      </c>
      <c r="J35" s="54"/>
      <c r="K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>
      <c r="C36" s="61" t="s">
        <v>110</v>
      </c>
      <c r="D36" s="62">
        <v>4.2120041E7</v>
      </c>
      <c r="E36" s="63">
        <v>2.6044511E7</v>
      </c>
      <c r="F36" s="63">
        <v>5.3384227E7</v>
      </c>
      <c r="G36" s="63">
        <v>2.0603797E7</v>
      </c>
      <c r="H36" s="63">
        <v>1.2168186E7</v>
      </c>
      <c r="J36" s="54"/>
      <c r="K36" s="54"/>
      <c r="M36" s="6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C37" s="65" t="s">
        <v>111</v>
      </c>
      <c r="D37" s="66">
        <v>3588.0</v>
      </c>
      <c r="E37" s="67">
        <v>3457.0</v>
      </c>
      <c r="F37" s="67">
        <v>5307.0</v>
      </c>
      <c r="G37" s="68"/>
      <c r="H37" s="68"/>
      <c r="J37" s="54"/>
      <c r="K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>
      <c r="C38" s="69" t="s">
        <v>112</v>
      </c>
      <c r="D38" s="70">
        <v>3866003.0</v>
      </c>
      <c r="E38" s="71">
        <v>2651419.0</v>
      </c>
      <c r="F38" s="71">
        <v>4730541.0</v>
      </c>
      <c r="G38" s="72"/>
      <c r="H38" s="72"/>
      <c r="J38" s="54"/>
      <c r="K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C39" s="73" t="s">
        <v>113</v>
      </c>
      <c r="D39" s="74">
        <f t="shared" ref="D39:F39" si="1">D36 - D37-D38</f>
        <v>38250450</v>
      </c>
      <c r="E39" s="75">
        <f t="shared" si="1"/>
        <v>23389635</v>
      </c>
      <c r="F39" s="75">
        <f t="shared" si="1"/>
        <v>48648379</v>
      </c>
      <c r="G39" s="76"/>
      <c r="H39" s="76"/>
      <c r="J39" s="54"/>
      <c r="K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>
      <c r="A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</sheetData>
  <mergeCells count="2">
    <mergeCell ref="A1:O2"/>
    <mergeCell ref="A31:O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49.25"/>
    <col customWidth="1" min="3" max="3" width="13.38"/>
    <col customWidth="1" min="4" max="4" width="27.13"/>
    <col customWidth="1" min="5" max="5" width="17.38"/>
    <col customWidth="1" min="6" max="6" width="40.88"/>
    <col customWidth="1" min="7" max="7" width="27.75"/>
    <col customWidth="1" min="8" max="8" width="23.13"/>
    <col customWidth="1" min="9" max="9" width="25.13"/>
  </cols>
  <sheetData>
    <row r="1">
      <c r="A1" s="77" t="s">
        <v>114</v>
      </c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5.75" customHeight="1">
      <c r="D4" s="79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5.75" customHeight="1">
      <c r="D5" s="79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5.75" customHeight="1">
      <c r="D6" s="79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34.5" customHeight="1">
      <c r="B7" s="80" t="s">
        <v>115</v>
      </c>
      <c r="C7" s="81"/>
      <c r="D7" s="79"/>
      <c r="I7" s="80" t="s">
        <v>116</v>
      </c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D8" s="79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D9" s="79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D10" s="79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D11" s="79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D12" s="79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5.75" customHeight="1">
      <c r="D13" s="79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D14" s="79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39.75" customHeight="1">
      <c r="D15" s="79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D16" s="79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D17" s="79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D18" s="79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D19" s="79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D20" s="79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D21" s="79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D22" s="79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D23" s="79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D24" s="79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D25" s="79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D26" s="79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D27" s="79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D28" s="79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0.5" customHeight="1">
      <c r="D29" s="79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5.5" customHeight="1">
      <c r="D30" s="79"/>
      <c r="J30" s="82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D31" s="79"/>
      <c r="J31" s="82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D32" s="79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D33" s="79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D34" s="79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D35" s="79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D36" s="79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B37" s="80" t="s">
        <v>117</v>
      </c>
      <c r="D37" s="79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D38" s="79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D39" s="79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D40" s="79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D41" s="79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D42" s="79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D43" s="79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D44" s="79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D45" s="79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D46" s="79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D47" s="79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D48" s="79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D49" s="79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D50" s="79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1.0" customHeight="1">
      <c r="D51" s="79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1.0" customHeight="1">
      <c r="D52" s="79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1.0" customHeight="1">
      <c r="D53" s="79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1.0" customHeight="1">
      <c r="D54" s="79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1.0" customHeight="1">
      <c r="D55" s="79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1.0" customHeight="1">
      <c r="D56" s="79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1.0" customHeight="1">
      <c r="D57" s="79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1.0" customHeight="1">
      <c r="D58" s="79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3.25" customHeight="1">
      <c r="D59" s="79"/>
      <c r="J59" s="83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1.75" customHeight="1">
      <c r="D60" s="79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D61" s="79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D62" s="79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D63" s="79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D64" s="79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D65" s="79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D66" s="79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D67" s="79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D68" s="79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D69" s="79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D70" s="79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D71" s="79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D72" s="79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D73" s="79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D74" s="79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D75" s="79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84"/>
      <c r="E76" s="78"/>
      <c r="F76" s="78"/>
      <c r="G76" s="85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84"/>
      <c r="E77" s="78"/>
      <c r="F77" s="78"/>
      <c r="G77" s="85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D78" s="79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D79" s="79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D80" s="79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D81" s="79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D82" s="79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D83" s="79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D84" s="79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D85" s="79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D86" s="79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D87" s="79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D88" s="79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D89" s="79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D90" s="79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D91" s="79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D92" s="79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86" t="s">
        <v>118</v>
      </c>
      <c r="B99" s="52"/>
      <c r="C99" s="52"/>
      <c r="D99" s="52"/>
      <c r="E99" s="52"/>
      <c r="F99" s="52"/>
      <c r="G99" s="52"/>
      <c r="H99" s="52"/>
      <c r="I99" s="53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55"/>
      <c r="B100" s="40"/>
      <c r="C100" s="40"/>
      <c r="D100" s="40"/>
      <c r="E100" s="40"/>
      <c r="F100" s="40"/>
      <c r="G100" s="40"/>
      <c r="H100" s="40"/>
      <c r="I100" s="56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87" t="s">
        <v>119</v>
      </c>
      <c r="B101" s="87" t="s">
        <v>120</v>
      </c>
      <c r="C101" s="87" t="s">
        <v>121</v>
      </c>
      <c r="D101" s="88" t="s">
        <v>122</v>
      </c>
      <c r="E101" s="87" t="s">
        <v>123</v>
      </c>
      <c r="F101" s="89" t="s">
        <v>124</v>
      </c>
      <c r="G101" s="89" t="s">
        <v>125</v>
      </c>
      <c r="H101" s="90" t="s">
        <v>126</v>
      </c>
      <c r="I101" s="90" t="s">
        <v>127</v>
      </c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91">
        <v>1.0</v>
      </c>
      <c r="B102" s="92" t="s">
        <v>128</v>
      </c>
      <c r="C102" s="92">
        <v>9.0</v>
      </c>
      <c r="D102" s="93">
        <v>2244043.0</v>
      </c>
      <c r="E102" s="94">
        <v>60602.0</v>
      </c>
      <c r="F102" s="93" t="s">
        <v>129</v>
      </c>
      <c r="G102" s="95"/>
      <c r="H102" s="96"/>
      <c r="I102" s="96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91">
        <v>2.0</v>
      </c>
      <c r="B103" s="97" t="s">
        <v>130</v>
      </c>
      <c r="C103" s="97">
        <v>7.0</v>
      </c>
      <c r="D103" s="97">
        <v>1528435.0</v>
      </c>
      <c r="E103" s="93">
        <v>510.0</v>
      </c>
      <c r="F103" s="93"/>
      <c r="G103" s="95"/>
      <c r="H103" s="98"/>
      <c r="I103" s="9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91">
        <v>3.0</v>
      </c>
      <c r="B104" s="99" t="s">
        <v>131</v>
      </c>
      <c r="C104" s="99">
        <v>3.0</v>
      </c>
      <c r="D104" s="95">
        <v>1276755.0</v>
      </c>
      <c r="E104" s="95">
        <v>5402.0</v>
      </c>
      <c r="F104" s="98"/>
      <c r="G104" s="98"/>
      <c r="H104" s="98"/>
      <c r="I104" s="9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91">
        <v>4.0</v>
      </c>
      <c r="B105" s="97" t="s">
        <v>132</v>
      </c>
      <c r="C105" s="93">
        <v>4.0</v>
      </c>
      <c r="D105" s="100">
        <v>666411.0</v>
      </c>
      <c r="E105" s="93">
        <v>60608.0</v>
      </c>
      <c r="F105" s="93"/>
      <c r="G105" s="95"/>
      <c r="H105" s="98"/>
      <c r="I105" s="9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91">
        <v>5.0</v>
      </c>
      <c r="B106" s="92" t="s">
        <v>133</v>
      </c>
      <c r="C106" s="94">
        <v>5.0</v>
      </c>
      <c r="D106" s="100">
        <v>61324.0</v>
      </c>
      <c r="E106" s="94">
        <v>60122.0</v>
      </c>
      <c r="F106" s="93"/>
      <c r="G106" s="101"/>
      <c r="H106" s="98"/>
      <c r="I106" s="9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91">
        <v>6.0</v>
      </c>
      <c r="B107" s="97" t="s">
        <v>134</v>
      </c>
      <c r="C107" s="93">
        <v>3.0</v>
      </c>
      <c r="D107" s="100">
        <v>584054.0</v>
      </c>
      <c r="E107" s="93">
        <v>5407.0</v>
      </c>
      <c r="F107" s="93"/>
      <c r="G107" s="95"/>
      <c r="H107" s="98"/>
      <c r="I107" s="9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91">
        <v>7.0</v>
      </c>
      <c r="B108" s="92" t="s">
        <v>135</v>
      </c>
      <c r="C108" s="94">
        <v>8.0</v>
      </c>
      <c r="D108" s="100">
        <v>581102.0</v>
      </c>
      <c r="E108" s="94">
        <v>5104.0</v>
      </c>
      <c r="F108" s="93"/>
      <c r="G108" s="95"/>
      <c r="H108" s="96"/>
      <c r="I108" s="96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91">
        <v>8.0</v>
      </c>
      <c r="B109" s="93" t="s">
        <v>136</v>
      </c>
      <c r="C109" s="93">
        <v>5.0</v>
      </c>
      <c r="D109" s="100">
        <v>574428.0</v>
      </c>
      <c r="E109" s="93">
        <v>60131.0</v>
      </c>
      <c r="F109" s="93"/>
      <c r="G109" s="95"/>
      <c r="H109" s="96"/>
      <c r="I109" s="96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91">
        <v>9.0</v>
      </c>
      <c r="B110" s="93" t="s">
        <v>137</v>
      </c>
      <c r="C110" s="93">
        <v>5.0</v>
      </c>
      <c r="D110" s="100">
        <v>567270.0</v>
      </c>
      <c r="E110" s="93">
        <v>60104.0</v>
      </c>
      <c r="F110" s="93"/>
      <c r="G110" s="95"/>
      <c r="H110" s="96"/>
      <c r="I110" s="96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91">
        <v>10.0</v>
      </c>
      <c r="B111" s="93" t="s">
        <v>138</v>
      </c>
      <c r="C111" s="93">
        <v>5.0</v>
      </c>
      <c r="D111" s="100">
        <v>447189.0</v>
      </c>
      <c r="E111" s="93">
        <v>61102.0</v>
      </c>
      <c r="F111" s="93"/>
      <c r="G111" s="95"/>
      <c r="H111" s="96"/>
      <c r="I111" s="96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84"/>
      <c r="E112" s="78"/>
      <c r="F112" s="78"/>
      <c r="G112" s="85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102"/>
      <c r="E113" s="78"/>
      <c r="F113" s="78"/>
      <c r="G113" s="85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84"/>
      <c r="E114" s="78"/>
      <c r="F114" s="78"/>
      <c r="G114" s="85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103" t="s">
        <v>139</v>
      </c>
      <c r="C115" s="104"/>
      <c r="D115" s="105"/>
      <c r="E115" s="104"/>
      <c r="F115" s="78"/>
      <c r="G115" s="85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C116" s="104"/>
      <c r="D116" s="105"/>
      <c r="E116" s="104"/>
      <c r="F116" s="78"/>
      <c r="G116" s="85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106" t="s">
        <v>119</v>
      </c>
      <c r="B117" s="106" t="s">
        <v>140</v>
      </c>
      <c r="C117" s="107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106">
        <v>1.0</v>
      </c>
      <c r="B118" s="95" t="s">
        <v>141</v>
      </c>
      <c r="C118" s="10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106">
        <v>2.0</v>
      </c>
      <c r="B119" s="95" t="s">
        <v>142</v>
      </c>
      <c r="C119" s="10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106">
        <v>3.0</v>
      </c>
      <c r="B120" s="95" t="s">
        <v>143</v>
      </c>
      <c r="C120" s="10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0.25" customHeight="1">
      <c r="A121" s="106">
        <v>4.0</v>
      </c>
      <c r="B121" s="95" t="s">
        <v>144</v>
      </c>
      <c r="C121" s="10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7.25" customHeight="1">
      <c r="A122" s="106">
        <v>5.0</v>
      </c>
      <c r="B122" s="95" t="s">
        <v>145</v>
      </c>
      <c r="C122" s="10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23.25" customHeight="1"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109"/>
      <c r="E132" s="110"/>
      <c r="F132" s="78"/>
      <c r="G132" s="85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109"/>
      <c r="E133" s="78"/>
      <c r="F133" s="78"/>
      <c r="G133" s="85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109"/>
      <c r="E134" s="78"/>
      <c r="F134" s="78"/>
      <c r="G134" s="85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109"/>
      <c r="E135" s="78"/>
      <c r="F135" s="78"/>
      <c r="G135" s="85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109"/>
      <c r="E136" s="78"/>
      <c r="F136" s="78"/>
      <c r="G136" s="85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84"/>
      <c r="E137" s="78"/>
      <c r="F137" s="78"/>
      <c r="G137" s="85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84"/>
      <c r="E138" s="78"/>
      <c r="F138" s="78"/>
      <c r="G138" s="85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84"/>
      <c r="E139" s="78"/>
      <c r="F139" s="78"/>
      <c r="G139" s="85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84"/>
      <c r="E140" s="78"/>
      <c r="F140" s="78"/>
      <c r="G140" s="85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84"/>
      <c r="E141" s="78"/>
      <c r="F141" s="78"/>
      <c r="G141" s="85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84"/>
      <c r="E142" s="78"/>
      <c r="F142" s="78"/>
      <c r="G142" s="85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84"/>
      <c r="E143" s="78"/>
      <c r="F143" s="78"/>
      <c r="G143" s="85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84"/>
      <c r="E144" s="78"/>
      <c r="F144" s="78"/>
      <c r="G144" s="85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82"/>
      <c r="C145" s="78"/>
      <c r="D145" s="84"/>
      <c r="E145" s="78"/>
      <c r="F145" s="78"/>
      <c r="G145" s="85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84"/>
      <c r="E146" s="78"/>
      <c r="F146" s="78"/>
      <c r="G146" s="85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84"/>
      <c r="E147" s="78"/>
      <c r="F147" s="78"/>
      <c r="G147" s="85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84"/>
      <c r="E148" s="78"/>
      <c r="F148" s="78"/>
      <c r="G148" s="85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84"/>
      <c r="E149" s="78"/>
      <c r="F149" s="78"/>
      <c r="G149" s="85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84"/>
      <c r="E150" s="78"/>
      <c r="F150" s="78"/>
      <c r="G150" s="85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84"/>
      <c r="E151" s="78"/>
      <c r="F151" s="78"/>
      <c r="G151" s="85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84"/>
      <c r="E152" s="78"/>
      <c r="F152" s="78"/>
      <c r="G152" s="85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84"/>
      <c r="E153" s="78"/>
      <c r="F153" s="78"/>
      <c r="G153" s="85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84"/>
      <c r="E154" s="78"/>
      <c r="F154" s="78"/>
      <c r="G154" s="85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84"/>
      <c r="E155" s="78"/>
      <c r="F155" s="78"/>
      <c r="G155" s="85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84"/>
      <c r="E156" s="78"/>
      <c r="F156" s="78"/>
      <c r="G156" s="85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84"/>
      <c r="E157" s="78"/>
      <c r="F157" s="78"/>
      <c r="G157" s="85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84"/>
      <c r="E158" s="78"/>
      <c r="F158" s="78"/>
      <c r="G158" s="85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84"/>
      <c r="E159" s="78"/>
      <c r="F159" s="78"/>
      <c r="G159" s="85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84"/>
      <c r="E160" s="78"/>
      <c r="F160" s="78"/>
      <c r="G160" s="85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84"/>
      <c r="E161" s="78"/>
      <c r="F161" s="78"/>
      <c r="G161" s="85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84"/>
      <c r="E162" s="78"/>
      <c r="F162" s="78"/>
      <c r="G162" s="85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84"/>
      <c r="E163" s="78"/>
      <c r="F163" s="78"/>
      <c r="G163" s="85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84"/>
      <c r="E164" s="78"/>
      <c r="F164" s="78"/>
      <c r="G164" s="85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84"/>
      <c r="E165" s="78"/>
      <c r="F165" s="78"/>
      <c r="G165" s="85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84"/>
      <c r="E166" s="78"/>
      <c r="F166" s="78"/>
      <c r="G166" s="85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84"/>
      <c r="E167" s="78"/>
      <c r="F167" s="78"/>
      <c r="G167" s="85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84"/>
      <c r="E168" s="78"/>
      <c r="F168" s="78"/>
      <c r="G168" s="85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84"/>
      <c r="E169" s="78"/>
      <c r="F169" s="78"/>
      <c r="G169" s="85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84"/>
      <c r="E170" s="78"/>
      <c r="F170" s="78"/>
      <c r="G170" s="85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84"/>
      <c r="E171" s="78"/>
      <c r="F171" s="78"/>
      <c r="G171" s="85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84"/>
      <c r="E172" s="78"/>
      <c r="F172" s="78"/>
      <c r="G172" s="85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84"/>
      <c r="E173" s="78"/>
      <c r="F173" s="78"/>
      <c r="G173" s="85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84"/>
      <c r="E174" s="78"/>
      <c r="F174" s="78"/>
      <c r="G174" s="85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84"/>
      <c r="E175" s="78"/>
      <c r="F175" s="78"/>
      <c r="G175" s="85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84"/>
      <c r="E176" s="78"/>
      <c r="F176" s="78"/>
      <c r="G176" s="85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84"/>
      <c r="E177" s="78"/>
      <c r="F177" s="78"/>
      <c r="G177" s="85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84"/>
      <c r="E178" s="78"/>
      <c r="F178" s="78"/>
      <c r="G178" s="85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84"/>
      <c r="E179" s="78"/>
      <c r="F179" s="78"/>
      <c r="G179" s="85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84"/>
      <c r="E180" s="78"/>
      <c r="F180" s="78"/>
      <c r="G180" s="85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84"/>
      <c r="E181" s="78"/>
      <c r="F181" s="78"/>
      <c r="G181" s="85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84"/>
      <c r="E182" s="78"/>
      <c r="F182" s="78"/>
      <c r="G182" s="85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84"/>
      <c r="E183" s="78"/>
      <c r="F183" s="78"/>
      <c r="G183" s="85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84"/>
      <c r="E184" s="78"/>
      <c r="F184" s="78"/>
      <c r="G184" s="85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84"/>
      <c r="E185" s="78"/>
      <c r="F185" s="78"/>
      <c r="G185" s="85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84"/>
      <c r="E186" s="78"/>
      <c r="F186" s="78"/>
      <c r="G186" s="85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84"/>
      <c r="E187" s="78"/>
      <c r="F187" s="78"/>
      <c r="G187" s="85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84"/>
      <c r="E188" s="78"/>
      <c r="F188" s="78"/>
      <c r="G188" s="85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82"/>
      <c r="C189" s="78"/>
      <c r="D189" s="84"/>
      <c r="E189" s="78"/>
      <c r="F189" s="78"/>
      <c r="G189" s="85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84"/>
      <c r="E190" s="78"/>
      <c r="F190" s="78"/>
      <c r="G190" s="85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84"/>
      <c r="E191" s="78"/>
      <c r="F191" s="78"/>
      <c r="G191" s="85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84"/>
      <c r="E192" s="78"/>
      <c r="F192" s="78"/>
      <c r="G192" s="85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84"/>
      <c r="E193" s="78"/>
      <c r="F193" s="78"/>
      <c r="G193" s="85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84"/>
      <c r="E194" s="78"/>
      <c r="F194" s="78"/>
      <c r="G194" s="85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84"/>
      <c r="E195" s="78"/>
      <c r="F195" s="78"/>
      <c r="G195" s="85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84"/>
      <c r="E196" s="78"/>
      <c r="F196" s="78"/>
      <c r="G196" s="85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84"/>
      <c r="E197" s="78"/>
      <c r="F197" s="78"/>
      <c r="G197" s="85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84"/>
      <c r="E198" s="78"/>
      <c r="F198" s="78"/>
      <c r="G198" s="85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84"/>
      <c r="E199" s="78"/>
      <c r="F199" s="78"/>
      <c r="G199" s="85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84"/>
      <c r="E200" s="78"/>
      <c r="F200" s="78"/>
      <c r="G200" s="85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84"/>
      <c r="E201" s="78"/>
      <c r="F201" s="78"/>
      <c r="G201" s="85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84"/>
      <c r="E202" s="78"/>
      <c r="F202" s="78"/>
      <c r="G202" s="85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84"/>
      <c r="E203" s="78"/>
      <c r="F203" s="78"/>
      <c r="G203" s="85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84"/>
      <c r="E204" s="78"/>
      <c r="F204" s="78"/>
      <c r="G204" s="85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84"/>
      <c r="E205" s="78"/>
      <c r="F205" s="78"/>
      <c r="G205" s="85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84"/>
      <c r="E206" s="78"/>
      <c r="F206" s="78"/>
      <c r="G206" s="85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84"/>
      <c r="E207" s="78"/>
      <c r="F207" s="78"/>
      <c r="G207" s="85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84"/>
      <c r="E208" s="78"/>
      <c r="F208" s="78"/>
      <c r="G208" s="85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84"/>
      <c r="E209" s="78"/>
      <c r="F209" s="78"/>
      <c r="G209" s="85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84"/>
      <c r="E210" s="78"/>
      <c r="F210" s="78"/>
      <c r="G210" s="85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84"/>
      <c r="E211" s="78"/>
      <c r="F211" s="78"/>
      <c r="G211" s="85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84"/>
      <c r="E212" s="78"/>
      <c r="F212" s="78"/>
      <c r="G212" s="85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84"/>
      <c r="E213" s="78"/>
      <c r="F213" s="78"/>
      <c r="G213" s="85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84"/>
      <c r="E214" s="78"/>
      <c r="F214" s="78"/>
      <c r="G214" s="85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84"/>
      <c r="E215" s="78"/>
      <c r="F215" s="78"/>
      <c r="G215" s="85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84"/>
      <c r="E216" s="78"/>
      <c r="F216" s="78"/>
      <c r="G216" s="85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84"/>
      <c r="E217" s="78"/>
      <c r="F217" s="78"/>
      <c r="G217" s="85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84"/>
      <c r="E218" s="78"/>
      <c r="F218" s="78"/>
      <c r="G218" s="85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84"/>
      <c r="E219" s="78"/>
      <c r="F219" s="78"/>
      <c r="G219" s="85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84"/>
      <c r="E220" s="78"/>
      <c r="F220" s="78"/>
      <c r="G220" s="85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84"/>
      <c r="E221" s="78"/>
      <c r="F221" s="78"/>
      <c r="G221" s="85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84"/>
      <c r="E222" s="78"/>
      <c r="F222" s="78"/>
      <c r="G222" s="85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84"/>
      <c r="E223" s="78"/>
      <c r="F223" s="78"/>
      <c r="G223" s="85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84"/>
      <c r="E224" s="78"/>
      <c r="F224" s="78"/>
      <c r="G224" s="85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84"/>
      <c r="E225" s="78"/>
      <c r="F225" s="78"/>
      <c r="G225" s="85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84"/>
      <c r="E226" s="78"/>
      <c r="F226" s="78"/>
      <c r="G226" s="85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84"/>
      <c r="E227" s="78"/>
      <c r="F227" s="78"/>
      <c r="G227" s="85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84"/>
      <c r="E228" s="78"/>
      <c r="F228" s="78"/>
      <c r="G228" s="85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84"/>
      <c r="E229" s="78"/>
      <c r="F229" s="78"/>
      <c r="G229" s="85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84"/>
      <c r="E230" s="78"/>
      <c r="F230" s="78"/>
      <c r="G230" s="85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84"/>
      <c r="E231" s="78"/>
      <c r="F231" s="78"/>
      <c r="G231" s="85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D232" s="79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D233" s="79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D234" s="79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D235" s="79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D236" s="79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D237" s="79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D238" s="79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D239" s="79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D240" s="79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D241" s="79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D242" s="79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D243" s="79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D244" s="79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D245" s="79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D246" s="79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D247" s="79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D248" s="79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D249" s="79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D250" s="79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D251" s="79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D252" s="79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D253" s="79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D254" s="79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D255" s="79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84"/>
      <c r="E256" s="78"/>
      <c r="F256" s="78"/>
      <c r="G256" s="85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84"/>
      <c r="E257" s="78"/>
      <c r="F257" s="78"/>
      <c r="G257" s="85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84"/>
      <c r="E258" s="78"/>
      <c r="F258" s="78"/>
      <c r="G258" s="85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84"/>
      <c r="E259" s="78"/>
      <c r="F259" s="78"/>
      <c r="G259" s="85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84"/>
      <c r="E260" s="78"/>
      <c r="F260" s="78"/>
      <c r="G260" s="85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84"/>
      <c r="E261" s="78"/>
      <c r="F261" s="78"/>
      <c r="G261" s="85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84"/>
      <c r="E262" s="78"/>
      <c r="F262" s="78"/>
      <c r="G262" s="85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84"/>
      <c r="E263" s="78"/>
      <c r="F263" s="78"/>
      <c r="G263" s="85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84"/>
      <c r="E264" s="78"/>
      <c r="F264" s="78"/>
      <c r="G264" s="85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84"/>
      <c r="E265" s="78"/>
      <c r="F265" s="78"/>
      <c r="G265" s="85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84"/>
      <c r="E266" s="78"/>
      <c r="F266" s="78"/>
      <c r="G266" s="85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84"/>
      <c r="E267" s="78"/>
      <c r="F267" s="78"/>
      <c r="G267" s="85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84"/>
      <c r="E268" s="78"/>
      <c r="F268" s="78"/>
      <c r="G268" s="85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84"/>
      <c r="E269" s="78"/>
      <c r="F269" s="78"/>
      <c r="G269" s="85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84"/>
      <c r="E270" s="78"/>
      <c r="F270" s="78"/>
      <c r="G270" s="85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84"/>
      <c r="E271" s="78"/>
      <c r="F271" s="78"/>
      <c r="G271" s="85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84"/>
      <c r="E272" s="78"/>
      <c r="F272" s="78"/>
      <c r="G272" s="85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84"/>
      <c r="E273" s="78"/>
      <c r="F273" s="78"/>
      <c r="G273" s="85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84"/>
      <c r="E274" s="78"/>
      <c r="F274" s="78"/>
      <c r="G274" s="85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84"/>
      <c r="E275" s="78"/>
      <c r="F275" s="78"/>
      <c r="G275" s="85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84"/>
      <c r="E276" s="78"/>
      <c r="F276" s="78"/>
      <c r="G276" s="85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84"/>
      <c r="E277" s="78"/>
      <c r="F277" s="78"/>
      <c r="G277" s="85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84"/>
      <c r="E278" s="78"/>
      <c r="F278" s="78"/>
      <c r="G278" s="85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84"/>
      <c r="E279" s="78"/>
      <c r="F279" s="78"/>
      <c r="G279" s="85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84"/>
      <c r="E280" s="78"/>
      <c r="F280" s="78"/>
      <c r="G280" s="85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84"/>
      <c r="E281" s="78"/>
      <c r="F281" s="78"/>
      <c r="G281" s="85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84"/>
      <c r="E282" s="78"/>
      <c r="F282" s="78"/>
      <c r="G282" s="85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84"/>
      <c r="E283" s="78"/>
      <c r="F283" s="78"/>
      <c r="G283" s="85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84"/>
      <c r="E284" s="78"/>
      <c r="F284" s="78"/>
      <c r="G284" s="85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84"/>
      <c r="E285" s="78"/>
      <c r="F285" s="78"/>
      <c r="G285" s="85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84"/>
      <c r="E286" s="78"/>
      <c r="F286" s="78"/>
      <c r="G286" s="85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84"/>
      <c r="E287" s="78"/>
      <c r="F287" s="78"/>
      <c r="G287" s="85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84"/>
      <c r="E288" s="78"/>
      <c r="F288" s="78"/>
      <c r="G288" s="85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84"/>
      <c r="E289" s="78"/>
      <c r="F289" s="78"/>
      <c r="G289" s="85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84"/>
      <c r="E290" s="78"/>
      <c r="F290" s="78"/>
      <c r="G290" s="85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84"/>
      <c r="E291" s="78"/>
      <c r="F291" s="78"/>
      <c r="G291" s="85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84"/>
      <c r="E292" s="78"/>
      <c r="F292" s="78"/>
      <c r="G292" s="85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84"/>
      <c r="E293" s="78"/>
      <c r="F293" s="78"/>
      <c r="G293" s="85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84"/>
      <c r="E294" s="78"/>
      <c r="F294" s="78"/>
      <c r="G294" s="85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84"/>
      <c r="E295" s="78"/>
      <c r="F295" s="78"/>
      <c r="G295" s="85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84"/>
      <c r="E296" s="78"/>
      <c r="F296" s="78"/>
      <c r="G296" s="85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84"/>
      <c r="E297" s="78"/>
      <c r="F297" s="78"/>
      <c r="G297" s="85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84"/>
      <c r="E298" s="78"/>
      <c r="F298" s="78"/>
      <c r="G298" s="85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84"/>
      <c r="E299" s="78"/>
      <c r="F299" s="78"/>
      <c r="G299" s="85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84"/>
      <c r="E300" s="78"/>
      <c r="F300" s="78"/>
      <c r="G300" s="85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84"/>
      <c r="E301" s="78"/>
      <c r="F301" s="78"/>
      <c r="G301" s="85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84"/>
      <c r="E302" s="78"/>
      <c r="F302" s="78"/>
      <c r="G302" s="85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84"/>
      <c r="E303" s="78"/>
      <c r="F303" s="78"/>
      <c r="G303" s="85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84"/>
      <c r="E304" s="78"/>
      <c r="F304" s="78"/>
      <c r="G304" s="85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84"/>
      <c r="E305" s="78"/>
      <c r="F305" s="78"/>
      <c r="G305" s="85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84"/>
      <c r="E306" s="78"/>
      <c r="F306" s="78"/>
      <c r="G306" s="85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84"/>
      <c r="E307" s="78"/>
      <c r="F307" s="78"/>
      <c r="G307" s="85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84"/>
      <c r="E308" s="78"/>
      <c r="F308" s="78"/>
      <c r="G308" s="85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84"/>
      <c r="E309" s="78"/>
      <c r="F309" s="78"/>
      <c r="G309" s="85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84"/>
      <c r="E310" s="78"/>
      <c r="F310" s="78"/>
      <c r="G310" s="85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84"/>
      <c r="E311" s="78"/>
      <c r="F311" s="78"/>
      <c r="G311" s="85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84"/>
      <c r="E312" s="78"/>
      <c r="F312" s="78"/>
      <c r="G312" s="85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84"/>
      <c r="E313" s="78"/>
      <c r="F313" s="78"/>
      <c r="G313" s="85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84"/>
      <c r="E314" s="78"/>
      <c r="F314" s="78"/>
      <c r="G314" s="85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84"/>
      <c r="E315" s="78"/>
      <c r="F315" s="78"/>
      <c r="G315" s="85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84"/>
      <c r="E316" s="78"/>
      <c r="F316" s="78"/>
      <c r="G316" s="85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84"/>
      <c r="E317" s="78"/>
      <c r="F317" s="78"/>
      <c r="G317" s="85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84"/>
      <c r="E318" s="78"/>
      <c r="F318" s="78"/>
      <c r="G318" s="85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84"/>
      <c r="E319" s="78"/>
      <c r="F319" s="78"/>
      <c r="G319" s="85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84"/>
      <c r="E320" s="78"/>
      <c r="F320" s="78"/>
      <c r="G320" s="85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84"/>
      <c r="E321" s="78"/>
      <c r="F321" s="78"/>
      <c r="G321" s="85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84"/>
      <c r="E322" s="78"/>
      <c r="F322" s="78"/>
      <c r="G322" s="85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84"/>
      <c r="E323" s="78"/>
      <c r="F323" s="78"/>
      <c r="G323" s="85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84"/>
      <c r="E324" s="78"/>
      <c r="F324" s="78"/>
      <c r="G324" s="85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84"/>
      <c r="E325" s="78"/>
      <c r="F325" s="78"/>
      <c r="G325" s="85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84"/>
      <c r="E326" s="78"/>
      <c r="F326" s="78"/>
      <c r="G326" s="85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84"/>
      <c r="E327" s="78"/>
      <c r="F327" s="78"/>
      <c r="G327" s="85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84"/>
      <c r="E328" s="78"/>
      <c r="F328" s="78"/>
      <c r="G328" s="85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84"/>
      <c r="E329" s="78"/>
      <c r="F329" s="78"/>
      <c r="G329" s="85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84"/>
      <c r="E330" s="78"/>
      <c r="F330" s="78"/>
      <c r="G330" s="85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84"/>
      <c r="E331" s="78"/>
      <c r="F331" s="78"/>
      <c r="G331" s="85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84"/>
      <c r="E332" s="78"/>
      <c r="F332" s="78"/>
      <c r="G332" s="85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84"/>
      <c r="E333" s="78"/>
      <c r="F333" s="78"/>
      <c r="G333" s="85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84"/>
      <c r="E334" s="78"/>
      <c r="F334" s="78"/>
      <c r="G334" s="85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84"/>
      <c r="E335" s="78"/>
      <c r="F335" s="78"/>
      <c r="G335" s="85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84"/>
      <c r="E336" s="78"/>
      <c r="F336" s="78"/>
      <c r="G336" s="85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84"/>
      <c r="E337" s="78"/>
      <c r="F337" s="78"/>
      <c r="G337" s="85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84"/>
      <c r="E338" s="78"/>
      <c r="F338" s="78"/>
      <c r="G338" s="85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84"/>
      <c r="E339" s="78"/>
      <c r="F339" s="78"/>
      <c r="G339" s="85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84"/>
      <c r="E340" s="78"/>
      <c r="F340" s="78"/>
      <c r="G340" s="85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84"/>
      <c r="E341" s="78"/>
      <c r="F341" s="78"/>
      <c r="G341" s="85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84"/>
      <c r="E342" s="78"/>
      <c r="F342" s="78"/>
      <c r="G342" s="85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84"/>
      <c r="E343" s="78"/>
      <c r="F343" s="78"/>
      <c r="G343" s="85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84"/>
      <c r="E344" s="78"/>
      <c r="F344" s="78"/>
      <c r="G344" s="85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84"/>
      <c r="E345" s="78"/>
      <c r="F345" s="78"/>
      <c r="G345" s="85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84"/>
      <c r="E346" s="78"/>
      <c r="F346" s="78"/>
      <c r="G346" s="85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84"/>
      <c r="E347" s="78"/>
      <c r="F347" s="78"/>
      <c r="G347" s="85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84"/>
      <c r="E348" s="78"/>
      <c r="F348" s="78"/>
      <c r="G348" s="85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84"/>
      <c r="E349" s="78"/>
      <c r="F349" s="78"/>
      <c r="G349" s="85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84"/>
      <c r="E350" s="78"/>
      <c r="F350" s="78"/>
      <c r="G350" s="85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84"/>
      <c r="E351" s="78"/>
      <c r="F351" s="78"/>
      <c r="G351" s="85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84"/>
      <c r="E352" s="78"/>
      <c r="F352" s="78"/>
      <c r="G352" s="85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84"/>
      <c r="E353" s="78"/>
      <c r="F353" s="78"/>
      <c r="G353" s="85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84"/>
      <c r="E354" s="78"/>
      <c r="F354" s="78"/>
      <c r="G354" s="85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84"/>
      <c r="E355" s="78"/>
      <c r="F355" s="78"/>
      <c r="G355" s="85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84"/>
      <c r="E356" s="78"/>
      <c r="F356" s="78"/>
      <c r="G356" s="85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84"/>
      <c r="E357" s="78"/>
      <c r="F357" s="78"/>
      <c r="G357" s="85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84"/>
      <c r="E358" s="78"/>
      <c r="F358" s="78"/>
      <c r="G358" s="85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84"/>
      <c r="E359" s="78"/>
      <c r="F359" s="78"/>
      <c r="G359" s="85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84"/>
      <c r="E360" s="78"/>
      <c r="F360" s="78"/>
      <c r="G360" s="85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84"/>
      <c r="E361" s="78"/>
      <c r="F361" s="78"/>
      <c r="G361" s="85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84"/>
      <c r="E362" s="78"/>
      <c r="F362" s="78"/>
      <c r="G362" s="85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84"/>
      <c r="E363" s="78"/>
      <c r="F363" s="78"/>
      <c r="G363" s="85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84"/>
      <c r="E364" s="78"/>
      <c r="F364" s="78"/>
      <c r="G364" s="85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84"/>
      <c r="E365" s="78"/>
      <c r="F365" s="78"/>
      <c r="G365" s="85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84"/>
      <c r="E366" s="78"/>
      <c r="F366" s="78"/>
      <c r="G366" s="85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84"/>
      <c r="E367" s="78"/>
      <c r="F367" s="78"/>
      <c r="G367" s="85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84"/>
      <c r="E368" s="78"/>
      <c r="F368" s="78"/>
      <c r="G368" s="85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84"/>
      <c r="E369" s="78"/>
      <c r="F369" s="78"/>
      <c r="G369" s="85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84"/>
      <c r="E370" s="78"/>
      <c r="F370" s="78"/>
      <c r="G370" s="85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84"/>
      <c r="E371" s="78"/>
      <c r="F371" s="78"/>
      <c r="G371" s="85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84"/>
      <c r="E372" s="78"/>
      <c r="F372" s="78"/>
      <c r="G372" s="85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84"/>
      <c r="E373" s="78"/>
      <c r="F373" s="78"/>
      <c r="G373" s="85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84"/>
      <c r="E374" s="78"/>
      <c r="F374" s="78"/>
      <c r="G374" s="85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84"/>
      <c r="E375" s="78"/>
      <c r="F375" s="78"/>
      <c r="G375" s="85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84"/>
      <c r="E376" s="78"/>
      <c r="F376" s="78"/>
      <c r="G376" s="85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84"/>
      <c r="E377" s="78"/>
      <c r="F377" s="78"/>
      <c r="G377" s="85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84"/>
      <c r="E378" s="78"/>
      <c r="F378" s="78"/>
      <c r="G378" s="85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84"/>
      <c r="E379" s="78"/>
      <c r="F379" s="78"/>
      <c r="G379" s="85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84"/>
      <c r="E380" s="78"/>
      <c r="F380" s="78"/>
      <c r="G380" s="85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84"/>
      <c r="E381" s="78"/>
      <c r="F381" s="78"/>
      <c r="G381" s="85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84"/>
      <c r="E382" s="78"/>
      <c r="F382" s="78"/>
      <c r="G382" s="85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84"/>
      <c r="E383" s="78"/>
      <c r="F383" s="78"/>
      <c r="G383" s="85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84"/>
      <c r="E384" s="78"/>
      <c r="F384" s="78"/>
      <c r="G384" s="85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84"/>
      <c r="E385" s="78"/>
      <c r="F385" s="78"/>
      <c r="G385" s="85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84"/>
      <c r="E386" s="78"/>
      <c r="F386" s="78"/>
      <c r="G386" s="85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84"/>
      <c r="E387" s="78"/>
      <c r="F387" s="78"/>
      <c r="G387" s="85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84"/>
      <c r="E388" s="78"/>
      <c r="F388" s="78"/>
      <c r="G388" s="85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84"/>
      <c r="E389" s="78"/>
      <c r="F389" s="78"/>
      <c r="G389" s="85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84"/>
      <c r="E390" s="78"/>
      <c r="F390" s="78"/>
      <c r="G390" s="85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84"/>
      <c r="E391" s="78"/>
      <c r="F391" s="78"/>
      <c r="G391" s="85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84"/>
      <c r="E392" s="78"/>
      <c r="F392" s="78"/>
      <c r="G392" s="85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84"/>
      <c r="E393" s="78"/>
      <c r="F393" s="78"/>
      <c r="G393" s="85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84"/>
      <c r="E394" s="78"/>
      <c r="F394" s="78"/>
      <c r="G394" s="85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84"/>
      <c r="E395" s="78"/>
      <c r="F395" s="78"/>
      <c r="G395" s="85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84"/>
      <c r="E396" s="78"/>
      <c r="F396" s="78"/>
      <c r="G396" s="85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84"/>
      <c r="E397" s="78"/>
      <c r="F397" s="78"/>
      <c r="G397" s="85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84"/>
      <c r="E398" s="78"/>
      <c r="F398" s="78"/>
      <c r="G398" s="85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84"/>
      <c r="E399" s="78"/>
      <c r="F399" s="78"/>
      <c r="G399" s="85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84"/>
      <c r="E400" s="78"/>
      <c r="F400" s="78"/>
      <c r="G400" s="85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84"/>
      <c r="E401" s="78"/>
      <c r="F401" s="78"/>
      <c r="G401" s="85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84"/>
      <c r="E402" s="78"/>
      <c r="F402" s="78"/>
      <c r="G402" s="85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84"/>
      <c r="E403" s="78"/>
      <c r="F403" s="78"/>
      <c r="G403" s="85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84"/>
      <c r="E404" s="78"/>
      <c r="F404" s="78"/>
      <c r="G404" s="85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84"/>
      <c r="E405" s="78"/>
      <c r="F405" s="78"/>
      <c r="G405" s="85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84"/>
      <c r="E406" s="78"/>
      <c r="F406" s="78"/>
      <c r="G406" s="85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84"/>
      <c r="E407" s="78"/>
      <c r="F407" s="78"/>
      <c r="G407" s="85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84"/>
      <c r="E408" s="78"/>
      <c r="F408" s="78"/>
      <c r="G408" s="85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84"/>
      <c r="E409" s="78"/>
      <c r="F409" s="78"/>
      <c r="G409" s="85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84"/>
      <c r="E410" s="78"/>
      <c r="F410" s="78"/>
      <c r="G410" s="85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84"/>
      <c r="E411" s="78"/>
      <c r="F411" s="78"/>
      <c r="G411" s="85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84"/>
      <c r="E412" s="78"/>
      <c r="F412" s="78"/>
      <c r="G412" s="85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84"/>
      <c r="E413" s="78"/>
      <c r="F413" s="78"/>
      <c r="G413" s="85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84"/>
      <c r="E414" s="78"/>
      <c r="F414" s="78"/>
      <c r="G414" s="85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84"/>
      <c r="E415" s="78"/>
      <c r="F415" s="78"/>
      <c r="G415" s="85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84"/>
      <c r="E416" s="78"/>
      <c r="F416" s="78"/>
      <c r="G416" s="85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84"/>
      <c r="E417" s="78"/>
      <c r="F417" s="78"/>
      <c r="G417" s="85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84"/>
      <c r="E418" s="78"/>
      <c r="F418" s="78"/>
      <c r="G418" s="85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84"/>
      <c r="E419" s="78"/>
      <c r="F419" s="78"/>
      <c r="G419" s="85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84"/>
      <c r="E420" s="78"/>
      <c r="F420" s="78"/>
      <c r="G420" s="85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84"/>
      <c r="E421" s="78"/>
      <c r="F421" s="78"/>
      <c r="G421" s="85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84"/>
      <c r="E422" s="78"/>
      <c r="F422" s="78"/>
      <c r="G422" s="85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84"/>
      <c r="E423" s="78"/>
      <c r="F423" s="78"/>
      <c r="G423" s="85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84"/>
      <c r="E424" s="78"/>
      <c r="F424" s="78"/>
      <c r="G424" s="85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84"/>
      <c r="E425" s="78"/>
      <c r="F425" s="78"/>
      <c r="G425" s="85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84"/>
      <c r="E426" s="78"/>
      <c r="F426" s="78"/>
      <c r="G426" s="85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84"/>
      <c r="E427" s="78"/>
      <c r="F427" s="78"/>
      <c r="G427" s="85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84"/>
      <c r="E428" s="78"/>
      <c r="F428" s="78"/>
      <c r="G428" s="85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84"/>
      <c r="E429" s="78"/>
      <c r="F429" s="78"/>
      <c r="G429" s="85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84"/>
      <c r="E430" s="78"/>
      <c r="F430" s="78"/>
      <c r="G430" s="85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84"/>
      <c r="E431" s="78"/>
      <c r="F431" s="78"/>
      <c r="G431" s="85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84"/>
      <c r="E432" s="78"/>
      <c r="F432" s="78"/>
      <c r="G432" s="85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84"/>
      <c r="E433" s="78"/>
      <c r="F433" s="78"/>
      <c r="G433" s="85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84"/>
      <c r="E434" s="78"/>
      <c r="F434" s="78"/>
      <c r="G434" s="85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84"/>
      <c r="E435" s="78"/>
      <c r="F435" s="78"/>
      <c r="G435" s="85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84"/>
      <c r="E436" s="78"/>
      <c r="F436" s="78"/>
      <c r="G436" s="85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84"/>
      <c r="E437" s="78"/>
      <c r="F437" s="78"/>
      <c r="G437" s="85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84"/>
      <c r="E438" s="78"/>
      <c r="F438" s="78"/>
      <c r="G438" s="85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84"/>
      <c r="E439" s="78"/>
      <c r="F439" s="78"/>
      <c r="G439" s="85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84"/>
      <c r="E440" s="78"/>
      <c r="F440" s="78"/>
      <c r="G440" s="85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84"/>
      <c r="E441" s="78"/>
      <c r="F441" s="78"/>
      <c r="G441" s="85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84"/>
      <c r="E442" s="78"/>
      <c r="F442" s="78"/>
      <c r="G442" s="85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84"/>
      <c r="E443" s="78"/>
      <c r="F443" s="78"/>
      <c r="G443" s="85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84"/>
      <c r="E444" s="78"/>
      <c r="F444" s="78"/>
      <c r="G444" s="85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84"/>
      <c r="E445" s="78"/>
      <c r="F445" s="78"/>
      <c r="G445" s="85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84"/>
      <c r="E446" s="78"/>
      <c r="F446" s="78"/>
      <c r="G446" s="85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84"/>
      <c r="E447" s="78"/>
      <c r="F447" s="78"/>
      <c r="G447" s="85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84"/>
      <c r="E448" s="78"/>
      <c r="F448" s="78"/>
      <c r="G448" s="85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84"/>
      <c r="E449" s="78"/>
      <c r="F449" s="78"/>
      <c r="G449" s="85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84"/>
      <c r="E450" s="78"/>
      <c r="F450" s="78"/>
      <c r="G450" s="85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84"/>
      <c r="E451" s="78"/>
      <c r="F451" s="78"/>
      <c r="G451" s="85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84"/>
      <c r="E452" s="78"/>
      <c r="F452" s="78"/>
      <c r="G452" s="85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84"/>
      <c r="E453" s="78"/>
      <c r="F453" s="78"/>
      <c r="G453" s="85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84"/>
      <c r="E454" s="78"/>
      <c r="F454" s="78"/>
      <c r="G454" s="85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84"/>
      <c r="E455" s="78"/>
      <c r="F455" s="78"/>
      <c r="G455" s="85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84"/>
      <c r="E456" s="78"/>
      <c r="F456" s="78"/>
      <c r="G456" s="85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84"/>
      <c r="E457" s="78"/>
      <c r="F457" s="78"/>
      <c r="G457" s="85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84"/>
      <c r="E458" s="78"/>
      <c r="F458" s="78"/>
      <c r="G458" s="85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84"/>
      <c r="E459" s="78"/>
      <c r="F459" s="78"/>
      <c r="G459" s="85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84"/>
      <c r="E460" s="78"/>
      <c r="F460" s="78"/>
      <c r="G460" s="85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84"/>
      <c r="E461" s="78"/>
      <c r="F461" s="78"/>
      <c r="G461" s="85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84"/>
      <c r="E462" s="78"/>
      <c r="F462" s="78"/>
      <c r="G462" s="85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84"/>
      <c r="E463" s="78"/>
      <c r="F463" s="78"/>
      <c r="G463" s="85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84"/>
      <c r="E464" s="78"/>
      <c r="F464" s="78"/>
      <c r="G464" s="85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84"/>
      <c r="E465" s="78"/>
      <c r="F465" s="78"/>
      <c r="G465" s="85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84"/>
      <c r="E466" s="78"/>
      <c r="F466" s="78"/>
      <c r="G466" s="85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84"/>
      <c r="E467" s="78"/>
      <c r="F467" s="78"/>
      <c r="G467" s="85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84"/>
      <c r="E468" s="78"/>
      <c r="F468" s="78"/>
      <c r="G468" s="85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84"/>
      <c r="E469" s="78"/>
      <c r="F469" s="78"/>
      <c r="G469" s="85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84"/>
      <c r="E470" s="78"/>
      <c r="F470" s="78"/>
      <c r="G470" s="85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84"/>
      <c r="E471" s="78"/>
      <c r="F471" s="78"/>
      <c r="G471" s="85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84"/>
      <c r="E472" s="78"/>
      <c r="F472" s="78"/>
      <c r="G472" s="85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84"/>
      <c r="E473" s="78"/>
      <c r="F473" s="78"/>
      <c r="G473" s="85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84"/>
      <c r="E474" s="78"/>
      <c r="F474" s="78"/>
      <c r="G474" s="85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84"/>
      <c r="E475" s="78"/>
      <c r="F475" s="78"/>
      <c r="G475" s="85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84"/>
      <c r="E476" s="78"/>
      <c r="F476" s="78"/>
      <c r="G476" s="85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84"/>
      <c r="E477" s="78"/>
      <c r="F477" s="78"/>
      <c r="G477" s="85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84"/>
      <c r="E478" s="78"/>
      <c r="F478" s="78"/>
      <c r="G478" s="85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84"/>
      <c r="E479" s="78"/>
      <c r="F479" s="78"/>
      <c r="G479" s="85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84"/>
      <c r="E480" s="78"/>
      <c r="F480" s="78"/>
      <c r="G480" s="85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84"/>
      <c r="E481" s="78"/>
      <c r="F481" s="78"/>
      <c r="G481" s="85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84"/>
      <c r="E482" s="78"/>
      <c r="F482" s="78"/>
      <c r="G482" s="85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84"/>
      <c r="E483" s="78"/>
      <c r="F483" s="78"/>
      <c r="G483" s="85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84"/>
      <c r="E484" s="78"/>
      <c r="F484" s="78"/>
      <c r="G484" s="85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84"/>
      <c r="E485" s="78"/>
      <c r="F485" s="78"/>
      <c r="G485" s="85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84"/>
      <c r="E486" s="78"/>
      <c r="F486" s="78"/>
      <c r="G486" s="85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84"/>
      <c r="E487" s="78"/>
      <c r="F487" s="78"/>
      <c r="G487" s="85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84"/>
      <c r="E488" s="78"/>
      <c r="F488" s="78"/>
      <c r="G488" s="85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84"/>
      <c r="E489" s="78"/>
      <c r="F489" s="78"/>
      <c r="G489" s="85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84"/>
      <c r="E490" s="78"/>
      <c r="F490" s="78"/>
      <c r="G490" s="85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84"/>
      <c r="E491" s="78"/>
      <c r="F491" s="78"/>
      <c r="G491" s="85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84"/>
      <c r="E492" s="78"/>
      <c r="F492" s="78"/>
      <c r="G492" s="85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84"/>
      <c r="E493" s="78"/>
      <c r="F493" s="78"/>
      <c r="G493" s="85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84"/>
      <c r="E494" s="78"/>
      <c r="F494" s="78"/>
      <c r="G494" s="85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84"/>
      <c r="E495" s="78"/>
      <c r="F495" s="78"/>
      <c r="G495" s="85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84"/>
      <c r="E496" s="78"/>
      <c r="F496" s="78"/>
      <c r="G496" s="85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84"/>
      <c r="E497" s="78"/>
      <c r="F497" s="78"/>
      <c r="G497" s="85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84"/>
      <c r="E498" s="78"/>
      <c r="F498" s="78"/>
      <c r="G498" s="85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84"/>
      <c r="E499" s="78"/>
      <c r="F499" s="78"/>
      <c r="G499" s="85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84"/>
      <c r="E500" s="78"/>
      <c r="F500" s="78"/>
      <c r="G500" s="85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84"/>
      <c r="E501" s="78"/>
      <c r="F501" s="78"/>
      <c r="G501" s="85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84"/>
      <c r="E502" s="78"/>
      <c r="F502" s="78"/>
      <c r="G502" s="85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84"/>
      <c r="E503" s="78"/>
      <c r="F503" s="78"/>
      <c r="G503" s="85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84"/>
      <c r="E504" s="78"/>
      <c r="F504" s="78"/>
      <c r="G504" s="85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84"/>
      <c r="E505" s="78"/>
      <c r="F505" s="78"/>
      <c r="G505" s="85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84"/>
      <c r="E506" s="78"/>
      <c r="F506" s="78"/>
      <c r="G506" s="85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84"/>
      <c r="E507" s="78"/>
      <c r="F507" s="78"/>
      <c r="G507" s="85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84"/>
      <c r="E508" s="78"/>
      <c r="F508" s="78"/>
      <c r="G508" s="85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84"/>
      <c r="E509" s="78"/>
      <c r="F509" s="78"/>
      <c r="G509" s="85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84"/>
      <c r="E510" s="78"/>
      <c r="F510" s="78"/>
      <c r="G510" s="85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84"/>
      <c r="E511" s="78"/>
      <c r="F511" s="78"/>
      <c r="G511" s="85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84"/>
      <c r="E512" s="78"/>
      <c r="F512" s="78"/>
      <c r="G512" s="85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84"/>
      <c r="E513" s="78"/>
      <c r="F513" s="78"/>
      <c r="G513" s="85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84"/>
      <c r="E514" s="78"/>
      <c r="F514" s="78"/>
      <c r="G514" s="85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84"/>
      <c r="E515" s="78"/>
      <c r="F515" s="78"/>
      <c r="G515" s="85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84"/>
      <c r="E516" s="78"/>
      <c r="F516" s="78"/>
      <c r="G516" s="85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84"/>
      <c r="E517" s="78"/>
      <c r="F517" s="78"/>
      <c r="G517" s="85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84"/>
      <c r="E518" s="78"/>
      <c r="F518" s="78"/>
      <c r="G518" s="85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84"/>
      <c r="E519" s="78"/>
      <c r="F519" s="78"/>
      <c r="G519" s="85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84"/>
      <c r="E520" s="78"/>
      <c r="F520" s="78"/>
      <c r="G520" s="85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84"/>
      <c r="E521" s="78"/>
      <c r="F521" s="78"/>
      <c r="G521" s="85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84"/>
      <c r="E522" s="78"/>
      <c r="F522" s="78"/>
      <c r="G522" s="85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84"/>
      <c r="E523" s="78"/>
      <c r="F523" s="78"/>
      <c r="G523" s="85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84"/>
      <c r="E524" s="78"/>
      <c r="F524" s="78"/>
      <c r="G524" s="85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84"/>
      <c r="E525" s="78"/>
      <c r="F525" s="78"/>
      <c r="G525" s="85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84"/>
      <c r="E526" s="78"/>
      <c r="F526" s="78"/>
      <c r="G526" s="85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84"/>
      <c r="E527" s="78"/>
      <c r="F527" s="78"/>
      <c r="G527" s="85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84"/>
      <c r="E528" s="78"/>
      <c r="F528" s="78"/>
      <c r="G528" s="85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84"/>
      <c r="E529" s="78"/>
      <c r="F529" s="78"/>
      <c r="G529" s="85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84"/>
      <c r="E530" s="78"/>
      <c r="F530" s="78"/>
      <c r="G530" s="85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84"/>
      <c r="E531" s="78"/>
      <c r="F531" s="78"/>
      <c r="G531" s="85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84"/>
      <c r="E532" s="78"/>
      <c r="F532" s="78"/>
      <c r="G532" s="85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84"/>
      <c r="E533" s="78"/>
      <c r="F533" s="78"/>
      <c r="G533" s="85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84"/>
      <c r="E534" s="78"/>
      <c r="F534" s="78"/>
      <c r="G534" s="85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84"/>
      <c r="E535" s="78"/>
      <c r="F535" s="78"/>
      <c r="G535" s="85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84"/>
      <c r="E536" s="78"/>
      <c r="F536" s="78"/>
      <c r="G536" s="85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84"/>
      <c r="E537" s="78"/>
      <c r="F537" s="78"/>
      <c r="G537" s="85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84"/>
      <c r="E538" s="78"/>
      <c r="F538" s="78"/>
      <c r="G538" s="85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84"/>
      <c r="E539" s="78"/>
      <c r="F539" s="78"/>
      <c r="G539" s="85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84"/>
      <c r="E540" s="78"/>
      <c r="F540" s="78"/>
      <c r="G540" s="85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84"/>
      <c r="E541" s="78"/>
      <c r="F541" s="78"/>
      <c r="G541" s="85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84"/>
      <c r="E542" s="78"/>
      <c r="F542" s="78"/>
      <c r="G542" s="85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84"/>
      <c r="E543" s="78"/>
      <c r="F543" s="78"/>
      <c r="G543" s="85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84"/>
      <c r="E544" s="78"/>
      <c r="F544" s="78"/>
      <c r="G544" s="85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84"/>
      <c r="E545" s="78"/>
      <c r="F545" s="78"/>
      <c r="G545" s="85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84"/>
      <c r="E546" s="78"/>
      <c r="F546" s="78"/>
      <c r="G546" s="85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84"/>
      <c r="E547" s="78"/>
      <c r="F547" s="78"/>
      <c r="G547" s="85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84"/>
      <c r="E548" s="78"/>
      <c r="F548" s="78"/>
      <c r="G548" s="85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84"/>
      <c r="E549" s="78"/>
      <c r="F549" s="78"/>
      <c r="G549" s="85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84"/>
      <c r="E550" s="78"/>
      <c r="F550" s="78"/>
      <c r="G550" s="85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84"/>
      <c r="E551" s="78"/>
      <c r="F551" s="78"/>
      <c r="G551" s="85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84"/>
      <c r="E552" s="78"/>
      <c r="F552" s="78"/>
      <c r="G552" s="85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84"/>
      <c r="E553" s="78"/>
      <c r="F553" s="78"/>
      <c r="G553" s="85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84"/>
      <c r="E554" s="78"/>
      <c r="F554" s="78"/>
      <c r="G554" s="85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84"/>
      <c r="E555" s="78"/>
      <c r="F555" s="78"/>
      <c r="G555" s="85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84"/>
      <c r="E556" s="78"/>
      <c r="F556" s="78"/>
      <c r="G556" s="85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84"/>
      <c r="E557" s="78"/>
      <c r="F557" s="78"/>
      <c r="G557" s="85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84"/>
      <c r="E558" s="78"/>
      <c r="F558" s="78"/>
      <c r="G558" s="85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84"/>
      <c r="E559" s="78"/>
      <c r="F559" s="78"/>
      <c r="G559" s="85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84"/>
      <c r="E560" s="78"/>
      <c r="F560" s="78"/>
      <c r="G560" s="85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84"/>
      <c r="E561" s="78"/>
      <c r="F561" s="78"/>
      <c r="G561" s="85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84"/>
      <c r="E562" s="78"/>
      <c r="F562" s="78"/>
      <c r="G562" s="85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84"/>
      <c r="E563" s="78"/>
      <c r="F563" s="78"/>
      <c r="G563" s="85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84"/>
      <c r="E564" s="78"/>
      <c r="F564" s="78"/>
      <c r="G564" s="85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84"/>
      <c r="E565" s="78"/>
      <c r="F565" s="78"/>
      <c r="G565" s="85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84"/>
      <c r="E566" s="78"/>
      <c r="F566" s="78"/>
      <c r="G566" s="85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84"/>
      <c r="E567" s="78"/>
      <c r="F567" s="78"/>
      <c r="G567" s="85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84"/>
      <c r="E568" s="78"/>
      <c r="F568" s="78"/>
      <c r="G568" s="85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84"/>
      <c r="E569" s="78"/>
      <c r="F569" s="78"/>
      <c r="G569" s="85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84"/>
      <c r="E570" s="78"/>
      <c r="F570" s="78"/>
      <c r="G570" s="85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84"/>
      <c r="E571" s="78"/>
      <c r="F571" s="78"/>
      <c r="G571" s="85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84"/>
      <c r="E572" s="78"/>
      <c r="F572" s="78"/>
      <c r="G572" s="85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84"/>
      <c r="E573" s="78"/>
      <c r="F573" s="78"/>
      <c r="G573" s="85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84"/>
      <c r="E574" s="78"/>
      <c r="F574" s="78"/>
      <c r="G574" s="85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84"/>
      <c r="E575" s="78"/>
      <c r="F575" s="78"/>
      <c r="G575" s="85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84"/>
      <c r="E576" s="78"/>
      <c r="F576" s="78"/>
      <c r="G576" s="85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84"/>
      <c r="E577" s="78"/>
      <c r="F577" s="78"/>
      <c r="G577" s="85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84"/>
      <c r="E578" s="78"/>
      <c r="F578" s="78"/>
      <c r="G578" s="85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84"/>
      <c r="E579" s="78"/>
      <c r="F579" s="78"/>
      <c r="G579" s="85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84"/>
      <c r="E580" s="78"/>
      <c r="F580" s="78"/>
      <c r="G580" s="85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84"/>
      <c r="E581" s="78"/>
      <c r="F581" s="78"/>
      <c r="G581" s="85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84"/>
      <c r="E582" s="78"/>
      <c r="F582" s="78"/>
      <c r="G582" s="85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84"/>
      <c r="E583" s="78"/>
      <c r="F583" s="78"/>
      <c r="G583" s="85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84"/>
      <c r="E584" s="78"/>
      <c r="F584" s="78"/>
      <c r="G584" s="85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84"/>
      <c r="E585" s="78"/>
      <c r="F585" s="78"/>
      <c r="G585" s="85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84"/>
      <c r="E586" s="78"/>
      <c r="F586" s="78"/>
      <c r="G586" s="85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84"/>
      <c r="E587" s="78"/>
      <c r="F587" s="78"/>
      <c r="G587" s="85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84"/>
      <c r="E588" s="78"/>
      <c r="F588" s="78"/>
      <c r="G588" s="85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84"/>
      <c r="E589" s="78"/>
      <c r="F589" s="78"/>
      <c r="G589" s="85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84"/>
      <c r="E590" s="78"/>
      <c r="F590" s="78"/>
      <c r="G590" s="85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84"/>
      <c r="E591" s="78"/>
      <c r="F591" s="78"/>
      <c r="G591" s="85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84"/>
      <c r="E592" s="78"/>
      <c r="F592" s="78"/>
      <c r="G592" s="85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84"/>
      <c r="E593" s="78"/>
      <c r="F593" s="78"/>
      <c r="G593" s="85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84"/>
      <c r="E594" s="78"/>
      <c r="F594" s="78"/>
      <c r="G594" s="85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84"/>
      <c r="E595" s="78"/>
      <c r="F595" s="78"/>
      <c r="G595" s="85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84"/>
      <c r="E596" s="78"/>
      <c r="F596" s="78"/>
      <c r="G596" s="85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84"/>
      <c r="E597" s="78"/>
      <c r="F597" s="78"/>
      <c r="G597" s="85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84"/>
      <c r="E598" s="78"/>
      <c r="F598" s="78"/>
      <c r="G598" s="85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84"/>
      <c r="E599" s="78"/>
      <c r="F599" s="78"/>
      <c r="G599" s="85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84"/>
      <c r="E600" s="78"/>
      <c r="F600" s="78"/>
      <c r="G600" s="85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84"/>
      <c r="E601" s="78"/>
      <c r="F601" s="78"/>
      <c r="G601" s="85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84"/>
      <c r="E602" s="78"/>
      <c r="F602" s="78"/>
      <c r="G602" s="85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84"/>
      <c r="E603" s="78"/>
      <c r="F603" s="78"/>
      <c r="G603" s="85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84"/>
      <c r="E604" s="78"/>
      <c r="F604" s="78"/>
      <c r="G604" s="85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84"/>
      <c r="E605" s="78"/>
      <c r="F605" s="78"/>
      <c r="G605" s="85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84"/>
      <c r="E606" s="78"/>
      <c r="F606" s="78"/>
      <c r="G606" s="85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84"/>
      <c r="E607" s="78"/>
      <c r="F607" s="78"/>
      <c r="G607" s="85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84"/>
      <c r="E608" s="78"/>
      <c r="F608" s="78"/>
      <c r="G608" s="85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84"/>
      <c r="E609" s="78"/>
      <c r="F609" s="78"/>
      <c r="G609" s="85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84"/>
      <c r="E610" s="78"/>
      <c r="F610" s="78"/>
      <c r="G610" s="85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84"/>
      <c r="E611" s="78"/>
      <c r="F611" s="78"/>
      <c r="G611" s="85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84"/>
      <c r="E612" s="78"/>
      <c r="F612" s="78"/>
      <c r="G612" s="85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84"/>
      <c r="E613" s="78"/>
      <c r="F613" s="78"/>
      <c r="G613" s="85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84"/>
      <c r="E614" s="78"/>
      <c r="F614" s="78"/>
      <c r="G614" s="85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84"/>
      <c r="E615" s="78"/>
      <c r="F615" s="78"/>
      <c r="G615" s="85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84"/>
      <c r="E616" s="78"/>
      <c r="F616" s="78"/>
      <c r="G616" s="85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84"/>
      <c r="E617" s="78"/>
      <c r="F617" s="78"/>
      <c r="G617" s="85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84"/>
      <c r="E618" s="78"/>
      <c r="F618" s="78"/>
      <c r="G618" s="85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84"/>
      <c r="E619" s="78"/>
      <c r="F619" s="78"/>
      <c r="G619" s="85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84"/>
      <c r="E620" s="78"/>
      <c r="F620" s="78"/>
      <c r="G620" s="85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84"/>
      <c r="E621" s="78"/>
      <c r="F621" s="78"/>
      <c r="G621" s="85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84"/>
      <c r="E622" s="78"/>
      <c r="F622" s="78"/>
      <c r="G622" s="85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84"/>
      <c r="E623" s="78"/>
      <c r="F623" s="78"/>
      <c r="G623" s="85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84"/>
      <c r="E624" s="78"/>
      <c r="F624" s="78"/>
      <c r="G624" s="85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84"/>
      <c r="E625" s="78"/>
      <c r="F625" s="78"/>
      <c r="G625" s="85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84"/>
      <c r="E626" s="78"/>
      <c r="F626" s="78"/>
      <c r="G626" s="85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84"/>
      <c r="E627" s="78"/>
      <c r="F627" s="78"/>
      <c r="G627" s="85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84"/>
      <c r="E628" s="78"/>
      <c r="F628" s="78"/>
      <c r="G628" s="85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84"/>
      <c r="E629" s="78"/>
      <c r="F629" s="78"/>
      <c r="G629" s="85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84"/>
      <c r="E630" s="78"/>
      <c r="F630" s="78"/>
      <c r="G630" s="85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84"/>
      <c r="E631" s="78"/>
      <c r="F631" s="78"/>
      <c r="G631" s="85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84"/>
      <c r="E632" s="78"/>
      <c r="F632" s="78"/>
      <c r="G632" s="85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84"/>
      <c r="E633" s="78"/>
      <c r="F633" s="78"/>
      <c r="G633" s="85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84"/>
      <c r="E634" s="78"/>
      <c r="F634" s="78"/>
      <c r="G634" s="85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84"/>
      <c r="E635" s="78"/>
      <c r="F635" s="78"/>
      <c r="G635" s="85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84"/>
      <c r="E636" s="78"/>
      <c r="F636" s="78"/>
      <c r="G636" s="85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84"/>
      <c r="E637" s="78"/>
      <c r="F637" s="78"/>
      <c r="G637" s="85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84"/>
      <c r="E638" s="78"/>
      <c r="F638" s="78"/>
      <c r="G638" s="85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84"/>
      <c r="E639" s="78"/>
      <c r="F639" s="78"/>
      <c r="G639" s="85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84"/>
      <c r="E640" s="78"/>
      <c r="F640" s="78"/>
      <c r="G640" s="85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84"/>
      <c r="E641" s="78"/>
      <c r="F641" s="78"/>
      <c r="G641" s="85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84"/>
      <c r="E642" s="78"/>
      <c r="F642" s="78"/>
      <c r="G642" s="85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84"/>
      <c r="E643" s="78"/>
      <c r="F643" s="78"/>
      <c r="G643" s="85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84"/>
      <c r="E644" s="78"/>
      <c r="F644" s="78"/>
      <c r="G644" s="85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84"/>
      <c r="E645" s="78"/>
      <c r="F645" s="78"/>
      <c r="G645" s="85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84"/>
      <c r="E646" s="78"/>
      <c r="F646" s="78"/>
      <c r="G646" s="85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84"/>
      <c r="E647" s="78"/>
      <c r="F647" s="78"/>
      <c r="G647" s="85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84"/>
      <c r="E648" s="78"/>
      <c r="F648" s="78"/>
      <c r="G648" s="85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84"/>
      <c r="E649" s="78"/>
      <c r="F649" s="78"/>
      <c r="G649" s="85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84"/>
      <c r="E650" s="78"/>
      <c r="F650" s="78"/>
      <c r="G650" s="85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84"/>
      <c r="E651" s="78"/>
      <c r="F651" s="78"/>
      <c r="G651" s="85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84"/>
      <c r="E652" s="78"/>
      <c r="F652" s="78"/>
      <c r="G652" s="85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84"/>
      <c r="E653" s="78"/>
      <c r="F653" s="78"/>
      <c r="G653" s="85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84"/>
      <c r="E654" s="78"/>
      <c r="F654" s="78"/>
      <c r="G654" s="85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84"/>
      <c r="E655" s="78"/>
      <c r="F655" s="78"/>
      <c r="G655" s="85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84"/>
      <c r="E656" s="78"/>
      <c r="F656" s="78"/>
      <c r="G656" s="85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84"/>
      <c r="E657" s="78"/>
      <c r="F657" s="78"/>
      <c r="G657" s="85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84"/>
      <c r="E658" s="78"/>
      <c r="F658" s="78"/>
      <c r="G658" s="85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84"/>
      <c r="E659" s="78"/>
      <c r="F659" s="78"/>
      <c r="G659" s="85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84"/>
      <c r="E660" s="78"/>
      <c r="F660" s="78"/>
      <c r="G660" s="85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84"/>
      <c r="E661" s="78"/>
      <c r="F661" s="78"/>
      <c r="G661" s="85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84"/>
      <c r="E662" s="78"/>
      <c r="F662" s="78"/>
      <c r="G662" s="85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84"/>
      <c r="E663" s="78"/>
      <c r="F663" s="78"/>
      <c r="G663" s="85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84"/>
      <c r="E664" s="78"/>
      <c r="F664" s="78"/>
      <c r="G664" s="85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84"/>
      <c r="E665" s="78"/>
      <c r="F665" s="78"/>
      <c r="G665" s="85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84"/>
      <c r="E666" s="78"/>
      <c r="F666" s="78"/>
      <c r="G666" s="85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84"/>
      <c r="E667" s="78"/>
      <c r="F667" s="78"/>
      <c r="G667" s="85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84"/>
      <c r="E668" s="78"/>
      <c r="F668" s="78"/>
      <c r="G668" s="85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84"/>
      <c r="E669" s="78"/>
      <c r="F669" s="78"/>
      <c r="G669" s="85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84"/>
      <c r="E670" s="78"/>
      <c r="F670" s="78"/>
      <c r="G670" s="85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84"/>
      <c r="E671" s="78"/>
      <c r="F671" s="78"/>
      <c r="G671" s="85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84"/>
      <c r="E672" s="78"/>
      <c r="F672" s="78"/>
      <c r="G672" s="85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84"/>
      <c r="E673" s="78"/>
      <c r="F673" s="78"/>
      <c r="G673" s="85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84"/>
      <c r="E674" s="78"/>
      <c r="F674" s="78"/>
      <c r="G674" s="85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84"/>
      <c r="E675" s="78"/>
      <c r="F675" s="78"/>
      <c r="G675" s="85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84"/>
      <c r="E676" s="78"/>
      <c r="F676" s="78"/>
      <c r="G676" s="85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84"/>
      <c r="E677" s="78"/>
      <c r="F677" s="78"/>
      <c r="G677" s="85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84"/>
      <c r="E678" s="78"/>
      <c r="F678" s="78"/>
      <c r="G678" s="85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84"/>
      <c r="E679" s="78"/>
      <c r="F679" s="78"/>
      <c r="G679" s="85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84"/>
      <c r="E680" s="78"/>
      <c r="F680" s="78"/>
      <c r="G680" s="85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84"/>
      <c r="E681" s="78"/>
      <c r="F681" s="78"/>
      <c r="G681" s="85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84"/>
      <c r="E682" s="78"/>
      <c r="F682" s="78"/>
      <c r="G682" s="85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84"/>
      <c r="E683" s="78"/>
      <c r="F683" s="78"/>
      <c r="G683" s="85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84"/>
      <c r="E684" s="78"/>
      <c r="F684" s="78"/>
      <c r="G684" s="85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84"/>
      <c r="E685" s="78"/>
      <c r="F685" s="78"/>
      <c r="G685" s="85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84"/>
      <c r="E686" s="78"/>
      <c r="F686" s="78"/>
      <c r="G686" s="85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84"/>
      <c r="E687" s="78"/>
      <c r="F687" s="78"/>
      <c r="G687" s="85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84"/>
      <c r="E688" s="78"/>
      <c r="F688" s="78"/>
      <c r="G688" s="85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84"/>
      <c r="E689" s="78"/>
      <c r="F689" s="78"/>
      <c r="G689" s="85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84"/>
      <c r="E690" s="78"/>
      <c r="F690" s="78"/>
      <c r="G690" s="85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84"/>
      <c r="E691" s="78"/>
      <c r="F691" s="78"/>
      <c r="G691" s="85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84"/>
      <c r="E692" s="78"/>
      <c r="F692" s="78"/>
      <c r="G692" s="85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84"/>
      <c r="E693" s="78"/>
      <c r="F693" s="78"/>
      <c r="G693" s="85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84"/>
      <c r="E694" s="78"/>
      <c r="F694" s="78"/>
      <c r="G694" s="85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84"/>
      <c r="E695" s="78"/>
      <c r="F695" s="78"/>
      <c r="G695" s="85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84"/>
      <c r="E696" s="78"/>
      <c r="F696" s="78"/>
      <c r="G696" s="85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84"/>
      <c r="E697" s="78"/>
      <c r="F697" s="78"/>
      <c r="G697" s="85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84"/>
      <c r="E698" s="78"/>
      <c r="F698" s="78"/>
      <c r="G698" s="85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84"/>
      <c r="E699" s="78"/>
      <c r="F699" s="78"/>
      <c r="G699" s="85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84"/>
      <c r="E700" s="78"/>
      <c r="F700" s="78"/>
      <c r="G700" s="85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84"/>
      <c r="E701" s="78"/>
      <c r="F701" s="78"/>
      <c r="G701" s="85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84"/>
      <c r="E702" s="78"/>
      <c r="F702" s="78"/>
      <c r="G702" s="85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84"/>
      <c r="E703" s="78"/>
      <c r="F703" s="78"/>
      <c r="G703" s="85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84"/>
      <c r="E704" s="78"/>
      <c r="F704" s="78"/>
      <c r="G704" s="85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84"/>
      <c r="E705" s="78"/>
      <c r="F705" s="78"/>
      <c r="G705" s="85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84"/>
      <c r="E706" s="78"/>
      <c r="F706" s="78"/>
      <c r="G706" s="85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84"/>
      <c r="E707" s="78"/>
      <c r="F707" s="78"/>
      <c r="G707" s="85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84"/>
      <c r="E708" s="78"/>
      <c r="F708" s="78"/>
      <c r="G708" s="85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84"/>
      <c r="E709" s="78"/>
      <c r="F709" s="78"/>
      <c r="G709" s="85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84"/>
      <c r="E710" s="78"/>
      <c r="F710" s="78"/>
      <c r="G710" s="85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84"/>
      <c r="E711" s="78"/>
      <c r="F711" s="78"/>
      <c r="G711" s="85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84"/>
      <c r="E712" s="78"/>
      <c r="F712" s="78"/>
      <c r="G712" s="85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84"/>
      <c r="E713" s="78"/>
      <c r="F713" s="78"/>
      <c r="G713" s="85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84"/>
      <c r="E714" s="78"/>
      <c r="F714" s="78"/>
      <c r="G714" s="85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84"/>
      <c r="E715" s="78"/>
      <c r="F715" s="78"/>
      <c r="G715" s="85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84"/>
      <c r="E716" s="78"/>
      <c r="F716" s="78"/>
      <c r="G716" s="85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84"/>
      <c r="E717" s="78"/>
      <c r="F717" s="78"/>
      <c r="G717" s="85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84"/>
      <c r="E718" s="78"/>
      <c r="F718" s="78"/>
      <c r="G718" s="85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84"/>
      <c r="E719" s="78"/>
      <c r="F719" s="78"/>
      <c r="G719" s="85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84"/>
      <c r="E720" s="78"/>
      <c r="F720" s="78"/>
      <c r="G720" s="85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84"/>
      <c r="E721" s="78"/>
      <c r="F721" s="78"/>
      <c r="G721" s="85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84"/>
      <c r="E722" s="78"/>
      <c r="F722" s="78"/>
      <c r="G722" s="85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84"/>
      <c r="E723" s="78"/>
      <c r="F723" s="78"/>
      <c r="G723" s="85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84"/>
      <c r="E724" s="78"/>
      <c r="F724" s="78"/>
      <c r="G724" s="85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84"/>
      <c r="E725" s="78"/>
      <c r="F725" s="78"/>
      <c r="G725" s="85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84"/>
      <c r="E726" s="78"/>
      <c r="F726" s="78"/>
      <c r="G726" s="85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84"/>
      <c r="E727" s="78"/>
      <c r="F727" s="78"/>
      <c r="G727" s="85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84"/>
      <c r="E728" s="78"/>
      <c r="F728" s="78"/>
      <c r="G728" s="85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84"/>
      <c r="E729" s="78"/>
      <c r="F729" s="78"/>
      <c r="G729" s="85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84"/>
      <c r="E730" s="78"/>
      <c r="F730" s="78"/>
      <c r="G730" s="85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84"/>
      <c r="E731" s="78"/>
      <c r="F731" s="78"/>
      <c r="G731" s="85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84"/>
      <c r="E732" s="78"/>
      <c r="F732" s="78"/>
      <c r="G732" s="85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84"/>
      <c r="E733" s="78"/>
      <c r="F733" s="78"/>
      <c r="G733" s="85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84"/>
      <c r="E734" s="78"/>
      <c r="F734" s="78"/>
      <c r="G734" s="85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84"/>
      <c r="E735" s="78"/>
      <c r="F735" s="78"/>
      <c r="G735" s="85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84"/>
      <c r="E736" s="78"/>
      <c r="F736" s="78"/>
      <c r="G736" s="85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84"/>
      <c r="E737" s="78"/>
      <c r="F737" s="78"/>
      <c r="G737" s="85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84"/>
      <c r="E738" s="78"/>
      <c r="F738" s="78"/>
      <c r="G738" s="85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84"/>
      <c r="E739" s="78"/>
      <c r="F739" s="78"/>
      <c r="G739" s="85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84"/>
      <c r="E740" s="78"/>
      <c r="F740" s="78"/>
      <c r="G740" s="85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84"/>
      <c r="E741" s="78"/>
      <c r="F741" s="78"/>
      <c r="G741" s="85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84"/>
      <c r="E742" s="78"/>
      <c r="F742" s="78"/>
      <c r="G742" s="85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84"/>
      <c r="E743" s="78"/>
      <c r="F743" s="78"/>
      <c r="G743" s="85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84"/>
      <c r="E744" s="78"/>
      <c r="F744" s="78"/>
      <c r="G744" s="85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84"/>
      <c r="E745" s="78"/>
      <c r="F745" s="78"/>
      <c r="G745" s="85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84"/>
      <c r="E746" s="78"/>
      <c r="F746" s="78"/>
      <c r="G746" s="85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84"/>
      <c r="E747" s="78"/>
      <c r="F747" s="78"/>
      <c r="G747" s="85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84"/>
      <c r="E748" s="78"/>
      <c r="F748" s="78"/>
      <c r="G748" s="85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84"/>
      <c r="E749" s="78"/>
      <c r="F749" s="78"/>
      <c r="G749" s="85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84"/>
      <c r="E750" s="78"/>
      <c r="F750" s="78"/>
      <c r="G750" s="85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84"/>
      <c r="E751" s="78"/>
      <c r="F751" s="78"/>
      <c r="G751" s="85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84"/>
      <c r="E752" s="78"/>
      <c r="F752" s="78"/>
      <c r="G752" s="85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84"/>
      <c r="E753" s="78"/>
      <c r="F753" s="78"/>
      <c r="G753" s="85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84"/>
      <c r="E754" s="78"/>
      <c r="F754" s="78"/>
      <c r="G754" s="85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84"/>
      <c r="E755" s="78"/>
      <c r="F755" s="78"/>
      <c r="G755" s="85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84"/>
      <c r="E756" s="78"/>
      <c r="F756" s="78"/>
      <c r="G756" s="85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84"/>
      <c r="E757" s="78"/>
      <c r="F757" s="78"/>
      <c r="G757" s="85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84"/>
      <c r="E758" s="78"/>
      <c r="F758" s="78"/>
      <c r="G758" s="85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84"/>
      <c r="E759" s="78"/>
      <c r="F759" s="78"/>
      <c r="G759" s="85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84"/>
      <c r="E760" s="78"/>
      <c r="F760" s="78"/>
      <c r="G760" s="85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84"/>
      <c r="E761" s="78"/>
      <c r="F761" s="78"/>
      <c r="G761" s="85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84"/>
      <c r="E762" s="78"/>
      <c r="F762" s="78"/>
      <c r="G762" s="85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84"/>
      <c r="E763" s="78"/>
      <c r="F763" s="78"/>
      <c r="G763" s="85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84"/>
      <c r="E764" s="78"/>
      <c r="F764" s="78"/>
      <c r="G764" s="85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84"/>
      <c r="E765" s="78"/>
      <c r="F765" s="78"/>
      <c r="G765" s="85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84"/>
      <c r="E766" s="78"/>
      <c r="F766" s="78"/>
      <c r="G766" s="85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84"/>
      <c r="E767" s="78"/>
      <c r="F767" s="78"/>
      <c r="G767" s="85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84"/>
      <c r="E768" s="78"/>
      <c r="F768" s="78"/>
      <c r="G768" s="85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84"/>
      <c r="E769" s="78"/>
      <c r="F769" s="78"/>
      <c r="G769" s="85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84"/>
      <c r="E770" s="78"/>
      <c r="F770" s="78"/>
      <c r="G770" s="85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84"/>
      <c r="E771" s="78"/>
      <c r="F771" s="78"/>
      <c r="G771" s="85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84"/>
      <c r="E772" s="78"/>
      <c r="F772" s="78"/>
      <c r="G772" s="85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84"/>
      <c r="E773" s="78"/>
      <c r="F773" s="78"/>
      <c r="G773" s="85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84"/>
      <c r="E774" s="78"/>
      <c r="F774" s="78"/>
      <c r="G774" s="85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84"/>
      <c r="E775" s="78"/>
      <c r="F775" s="78"/>
      <c r="G775" s="85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84"/>
      <c r="E776" s="78"/>
      <c r="F776" s="78"/>
      <c r="G776" s="85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84"/>
      <c r="E777" s="78"/>
      <c r="F777" s="78"/>
      <c r="G777" s="85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84"/>
      <c r="E778" s="78"/>
      <c r="F778" s="78"/>
      <c r="G778" s="85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84"/>
      <c r="E779" s="78"/>
      <c r="F779" s="78"/>
      <c r="G779" s="85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84"/>
      <c r="E780" s="78"/>
      <c r="F780" s="78"/>
      <c r="G780" s="85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84"/>
      <c r="E781" s="78"/>
      <c r="F781" s="78"/>
      <c r="G781" s="85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84"/>
      <c r="E782" s="78"/>
      <c r="F782" s="78"/>
      <c r="G782" s="85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84"/>
      <c r="E783" s="78"/>
      <c r="F783" s="78"/>
      <c r="G783" s="85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84"/>
      <c r="E784" s="78"/>
      <c r="F784" s="78"/>
      <c r="G784" s="85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84"/>
      <c r="E785" s="78"/>
      <c r="F785" s="78"/>
      <c r="G785" s="85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84"/>
      <c r="E786" s="78"/>
      <c r="F786" s="78"/>
      <c r="G786" s="85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84"/>
      <c r="E787" s="78"/>
      <c r="F787" s="78"/>
      <c r="G787" s="85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84"/>
      <c r="E788" s="78"/>
      <c r="F788" s="78"/>
      <c r="G788" s="85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84"/>
      <c r="E789" s="78"/>
      <c r="F789" s="78"/>
      <c r="G789" s="85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84"/>
      <c r="E790" s="78"/>
      <c r="F790" s="78"/>
      <c r="G790" s="85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84"/>
      <c r="E791" s="78"/>
      <c r="F791" s="78"/>
      <c r="G791" s="85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84"/>
      <c r="E792" s="78"/>
      <c r="F792" s="78"/>
      <c r="G792" s="85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84"/>
      <c r="E793" s="78"/>
      <c r="F793" s="78"/>
      <c r="G793" s="85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84"/>
      <c r="E794" s="78"/>
      <c r="F794" s="78"/>
      <c r="G794" s="85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84"/>
      <c r="E795" s="78"/>
      <c r="F795" s="78"/>
      <c r="G795" s="85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84"/>
      <c r="E796" s="78"/>
      <c r="F796" s="78"/>
      <c r="G796" s="85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84"/>
      <c r="E797" s="78"/>
      <c r="F797" s="78"/>
      <c r="G797" s="85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84"/>
      <c r="E798" s="78"/>
      <c r="F798" s="78"/>
      <c r="G798" s="85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84"/>
      <c r="E799" s="78"/>
      <c r="F799" s="78"/>
      <c r="G799" s="85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84"/>
      <c r="E800" s="78"/>
      <c r="F800" s="78"/>
      <c r="G800" s="85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84"/>
      <c r="E801" s="78"/>
      <c r="F801" s="78"/>
      <c r="G801" s="85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84"/>
      <c r="E802" s="78"/>
      <c r="F802" s="78"/>
      <c r="G802" s="85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84"/>
      <c r="E803" s="78"/>
      <c r="F803" s="78"/>
      <c r="G803" s="85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84"/>
      <c r="E804" s="78"/>
      <c r="F804" s="78"/>
      <c r="G804" s="85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84"/>
      <c r="E805" s="78"/>
      <c r="F805" s="78"/>
      <c r="G805" s="85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84"/>
      <c r="E806" s="78"/>
      <c r="F806" s="78"/>
      <c r="G806" s="85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84"/>
      <c r="E807" s="78"/>
      <c r="F807" s="78"/>
      <c r="G807" s="85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84"/>
      <c r="E808" s="78"/>
      <c r="F808" s="78"/>
      <c r="G808" s="85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84"/>
      <c r="E809" s="78"/>
      <c r="F809" s="78"/>
      <c r="G809" s="85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84"/>
      <c r="E810" s="78"/>
      <c r="F810" s="78"/>
      <c r="G810" s="85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84"/>
      <c r="E811" s="78"/>
      <c r="F811" s="78"/>
      <c r="G811" s="85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84"/>
      <c r="E812" s="78"/>
      <c r="F812" s="78"/>
      <c r="G812" s="85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84"/>
      <c r="E813" s="78"/>
      <c r="F813" s="78"/>
      <c r="G813" s="85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84"/>
      <c r="E814" s="78"/>
      <c r="F814" s="78"/>
      <c r="G814" s="85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84"/>
      <c r="E815" s="78"/>
      <c r="F815" s="78"/>
      <c r="G815" s="85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84"/>
      <c r="E816" s="78"/>
      <c r="F816" s="78"/>
      <c r="G816" s="85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84"/>
      <c r="E817" s="78"/>
      <c r="F817" s="78"/>
      <c r="G817" s="85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84"/>
      <c r="E818" s="78"/>
      <c r="F818" s="78"/>
      <c r="G818" s="85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84"/>
      <c r="E819" s="78"/>
      <c r="F819" s="78"/>
      <c r="G819" s="85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84"/>
      <c r="E820" s="78"/>
      <c r="F820" s="78"/>
      <c r="G820" s="85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84"/>
      <c r="E821" s="78"/>
      <c r="F821" s="78"/>
      <c r="G821" s="85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84"/>
      <c r="E822" s="78"/>
      <c r="F822" s="78"/>
      <c r="G822" s="85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84"/>
      <c r="E823" s="78"/>
      <c r="F823" s="78"/>
      <c r="G823" s="85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84"/>
      <c r="E824" s="78"/>
      <c r="F824" s="78"/>
      <c r="G824" s="85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84"/>
      <c r="E825" s="78"/>
      <c r="F825" s="78"/>
      <c r="G825" s="85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84"/>
      <c r="E826" s="78"/>
      <c r="F826" s="78"/>
      <c r="G826" s="85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84"/>
      <c r="E827" s="78"/>
      <c r="F827" s="78"/>
      <c r="G827" s="85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84"/>
      <c r="E828" s="78"/>
      <c r="F828" s="78"/>
      <c r="G828" s="85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84"/>
      <c r="E829" s="78"/>
      <c r="F829" s="78"/>
      <c r="G829" s="85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84"/>
      <c r="E830" s="78"/>
      <c r="F830" s="78"/>
      <c r="G830" s="85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84"/>
      <c r="E831" s="78"/>
      <c r="F831" s="78"/>
      <c r="G831" s="85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84"/>
      <c r="E832" s="78"/>
      <c r="F832" s="78"/>
      <c r="G832" s="85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84"/>
      <c r="E833" s="78"/>
      <c r="F833" s="78"/>
      <c r="G833" s="85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84"/>
      <c r="E834" s="78"/>
      <c r="F834" s="78"/>
      <c r="G834" s="85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84"/>
      <c r="E835" s="78"/>
      <c r="F835" s="78"/>
      <c r="G835" s="85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84"/>
      <c r="E836" s="78"/>
      <c r="F836" s="78"/>
      <c r="G836" s="85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84"/>
      <c r="E837" s="78"/>
      <c r="F837" s="78"/>
      <c r="G837" s="85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84"/>
      <c r="E838" s="78"/>
      <c r="F838" s="78"/>
      <c r="G838" s="85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84"/>
      <c r="E839" s="78"/>
      <c r="F839" s="78"/>
      <c r="G839" s="85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84"/>
      <c r="E840" s="78"/>
      <c r="F840" s="78"/>
      <c r="G840" s="85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84"/>
      <c r="E841" s="78"/>
      <c r="F841" s="78"/>
      <c r="G841" s="85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84"/>
      <c r="E842" s="78"/>
      <c r="F842" s="78"/>
      <c r="G842" s="85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84"/>
      <c r="E843" s="78"/>
      <c r="F843" s="78"/>
      <c r="G843" s="85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84"/>
      <c r="E844" s="78"/>
      <c r="F844" s="78"/>
      <c r="G844" s="85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84"/>
      <c r="E845" s="78"/>
      <c r="F845" s="78"/>
      <c r="G845" s="85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84"/>
      <c r="E846" s="78"/>
      <c r="F846" s="78"/>
      <c r="G846" s="85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84"/>
      <c r="E847" s="78"/>
      <c r="F847" s="78"/>
      <c r="G847" s="85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84"/>
      <c r="E848" s="78"/>
      <c r="F848" s="78"/>
      <c r="G848" s="85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84"/>
      <c r="E849" s="78"/>
      <c r="F849" s="78"/>
      <c r="G849" s="85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84"/>
      <c r="E850" s="78"/>
      <c r="F850" s="78"/>
      <c r="G850" s="85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84"/>
      <c r="E851" s="78"/>
      <c r="F851" s="78"/>
      <c r="G851" s="85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84"/>
      <c r="E852" s="78"/>
      <c r="F852" s="78"/>
      <c r="G852" s="85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84"/>
      <c r="E853" s="78"/>
      <c r="F853" s="78"/>
      <c r="G853" s="85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84"/>
      <c r="E854" s="78"/>
      <c r="F854" s="78"/>
      <c r="G854" s="85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84"/>
      <c r="E855" s="78"/>
      <c r="F855" s="78"/>
      <c r="G855" s="85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84"/>
      <c r="E856" s="78"/>
      <c r="F856" s="78"/>
      <c r="G856" s="85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84"/>
      <c r="E857" s="78"/>
      <c r="F857" s="78"/>
      <c r="G857" s="85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84"/>
      <c r="E858" s="78"/>
      <c r="F858" s="78"/>
      <c r="G858" s="85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84"/>
      <c r="E859" s="78"/>
      <c r="F859" s="78"/>
      <c r="G859" s="85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84"/>
      <c r="E860" s="78"/>
      <c r="F860" s="78"/>
      <c r="G860" s="85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84"/>
      <c r="E861" s="78"/>
      <c r="F861" s="78"/>
      <c r="G861" s="85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84"/>
      <c r="E862" s="78"/>
      <c r="F862" s="78"/>
      <c r="G862" s="85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84"/>
      <c r="E863" s="78"/>
      <c r="F863" s="78"/>
      <c r="G863" s="85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84"/>
      <c r="E864" s="78"/>
      <c r="F864" s="78"/>
      <c r="G864" s="85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84"/>
      <c r="E865" s="78"/>
      <c r="F865" s="78"/>
      <c r="G865" s="85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84"/>
      <c r="E866" s="78"/>
      <c r="F866" s="78"/>
      <c r="G866" s="85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84"/>
      <c r="E867" s="78"/>
      <c r="F867" s="78"/>
      <c r="G867" s="85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84"/>
      <c r="E868" s="78"/>
      <c r="F868" s="78"/>
      <c r="G868" s="85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84"/>
      <c r="E869" s="78"/>
      <c r="F869" s="78"/>
      <c r="G869" s="85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84"/>
      <c r="E870" s="78"/>
      <c r="F870" s="78"/>
      <c r="G870" s="85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84"/>
      <c r="E871" s="78"/>
      <c r="F871" s="78"/>
      <c r="G871" s="85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84"/>
      <c r="E872" s="78"/>
      <c r="F872" s="78"/>
      <c r="G872" s="85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84"/>
      <c r="E873" s="78"/>
      <c r="F873" s="78"/>
      <c r="G873" s="85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84"/>
      <c r="E874" s="78"/>
      <c r="F874" s="78"/>
      <c r="G874" s="85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84"/>
      <c r="E875" s="78"/>
      <c r="F875" s="78"/>
      <c r="G875" s="85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84"/>
      <c r="E876" s="78"/>
      <c r="F876" s="78"/>
      <c r="G876" s="85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84"/>
      <c r="E877" s="78"/>
      <c r="F877" s="78"/>
      <c r="G877" s="85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84"/>
      <c r="E878" s="78"/>
      <c r="F878" s="78"/>
      <c r="G878" s="85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84"/>
      <c r="E879" s="78"/>
      <c r="F879" s="78"/>
      <c r="G879" s="85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84"/>
      <c r="E880" s="78"/>
      <c r="F880" s="78"/>
      <c r="G880" s="85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84"/>
      <c r="E881" s="78"/>
      <c r="F881" s="78"/>
      <c r="G881" s="85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84"/>
      <c r="E882" s="78"/>
      <c r="F882" s="78"/>
      <c r="G882" s="85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84"/>
      <c r="E883" s="78"/>
      <c r="F883" s="78"/>
      <c r="G883" s="85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84"/>
      <c r="E884" s="78"/>
      <c r="F884" s="78"/>
      <c r="G884" s="85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84"/>
      <c r="E885" s="78"/>
      <c r="F885" s="78"/>
      <c r="G885" s="85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84"/>
      <c r="E886" s="78"/>
      <c r="F886" s="78"/>
      <c r="G886" s="85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84"/>
      <c r="E887" s="78"/>
      <c r="F887" s="78"/>
      <c r="G887" s="85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84"/>
      <c r="E888" s="78"/>
      <c r="F888" s="78"/>
      <c r="G888" s="85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84"/>
      <c r="E889" s="78"/>
      <c r="F889" s="78"/>
      <c r="G889" s="85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84"/>
      <c r="E890" s="78"/>
      <c r="F890" s="78"/>
      <c r="G890" s="85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84"/>
      <c r="E891" s="78"/>
      <c r="F891" s="78"/>
      <c r="G891" s="85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84"/>
      <c r="E892" s="78"/>
      <c r="F892" s="78"/>
      <c r="G892" s="85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84"/>
      <c r="E893" s="78"/>
      <c r="F893" s="78"/>
      <c r="G893" s="85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84"/>
      <c r="E894" s="78"/>
      <c r="F894" s="78"/>
      <c r="G894" s="85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84"/>
      <c r="E895" s="78"/>
      <c r="F895" s="78"/>
      <c r="G895" s="85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84"/>
      <c r="E896" s="78"/>
      <c r="F896" s="78"/>
      <c r="G896" s="85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84"/>
      <c r="E897" s="78"/>
      <c r="F897" s="78"/>
      <c r="G897" s="85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84"/>
      <c r="E898" s="78"/>
      <c r="F898" s="78"/>
      <c r="G898" s="85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84"/>
      <c r="E899" s="78"/>
      <c r="F899" s="78"/>
      <c r="G899" s="85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84"/>
      <c r="E900" s="78"/>
      <c r="F900" s="78"/>
      <c r="G900" s="85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84"/>
      <c r="E901" s="78"/>
      <c r="F901" s="78"/>
      <c r="G901" s="85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84"/>
      <c r="E902" s="78"/>
      <c r="F902" s="78"/>
      <c r="G902" s="85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84"/>
      <c r="E903" s="78"/>
      <c r="F903" s="78"/>
      <c r="G903" s="85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84"/>
      <c r="E904" s="78"/>
      <c r="F904" s="78"/>
      <c r="G904" s="85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84"/>
      <c r="E905" s="78"/>
      <c r="F905" s="78"/>
      <c r="G905" s="85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84"/>
      <c r="E906" s="78"/>
      <c r="F906" s="78"/>
      <c r="G906" s="85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84"/>
      <c r="E907" s="78"/>
      <c r="F907" s="78"/>
      <c r="G907" s="85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84"/>
      <c r="E908" s="78"/>
      <c r="F908" s="78"/>
      <c r="G908" s="85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84"/>
      <c r="E909" s="78"/>
      <c r="F909" s="78"/>
      <c r="G909" s="85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84"/>
      <c r="E910" s="78"/>
      <c r="F910" s="78"/>
      <c r="G910" s="85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84"/>
      <c r="E911" s="78"/>
      <c r="F911" s="78"/>
      <c r="G911" s="85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84"/>
      <c r="E912" s="78"/>
      <c r="F912" s="78"/>
      <c r="G912" s="85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84"/>
      <c r="E913" s="78"/>
      <c r="F913" s="78"/>
      <c r="G913" s="85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84"/>
      <c r="E914" s="78"/>
      <c r="F914" s="78"/>
      <c r="G914" s="85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84"/>
      <c r="E915" s="78"/>
      <c r="F915" s="78"/>
      <c r="G915" s="85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84"/>
      <c r="E916" s="78"/>
      <c r="F916" s="78"/>
      <c r="G916" s="85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84"/>
      <c r="E917" s="78"/>
      <c r="F917" s="78"/>
      <c r="G917" s="85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84"/>
      <c r="E918" s="78"/>
      <c r="F918" s="78"/>
      <c r="G918" s="85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84"/>
      <c r="E919" s="78"/>
      <c r="F919" s="78"/>
      <c r="G919" s="85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84"/>
      <c r="E920" s="78"/>
      <c r="F920" s="78"/>
      <c r="G920" s="85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84"/>
      <c r="E921" s="78"/>
      <c r="F921" s="78"/>
      <c r="G921" s="85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84"/>
      <c r="E922" s="78"/>
      <c r="F922" s="78"/>
      <c r="G922" s="85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84"/>
      <c r="E923" s="78"/>
      <c r="F923" s="78"/>
      <c r="G923" s="85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84"/>
      <c r="E924" s="78"/>
      <c r="F924" s="78"/>
      <c r="G924" s="85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84"/>
      <c r="E925" s="78"/>
      <c r="F925" s="78"/>
      <c r="G925" s="85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84"/>
      <c r="E926" s="78"/>
      <c r="F926" s="78"/>
      <c r="G926" s="85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84"/>
      <c r="E927" s="78"/>
      <c r="F927" s="78"/>
      <c r="G927" s="85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84"/>
      <c r="E928" s="78"/>
      <c r="F928" s="78"/>
      <c r="G928" s="85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84"/>
      <c r="E929" s="78"/>
      <c r="F929" s="78"/>
      <c r="G929" s="85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84"/>
      <c r="E930" s="78"/>
      <c r="F930" s="78"/>
      <c r="G930" s="85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84"/>
      <c r="E931" s="78"/>
      <c r="F931" s="78"/>
      <c r="G931" s="85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84"/>
      <c r="E932" s="78"/>
      <c r="F932" s="78"/>
      <c r="G932" s="85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84"/>
      <c r="E933" s="78"/>
      <c r="F933" s="78"/>
      <c r="G933" s="85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84"/>
      <c r="E934" s="78"/>
      <c r="F934" s="78"/>
      <c r="G934" s="85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84"/>
      <c r="E935" s="78"/>
      <c r="F935" s="78"/>
      <c r="G935" s="85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84"/>
      <c r="E936" s="78"/>
      <c r="F936" s="78"/>
      <c r="G936" s="85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84"/>
      <c r="E937" s="78"/>
      <c r="F937" s="78"/>
      <c r="G937" s="85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84"/>
      <c r="E938" s="78"/>
      <c r="F938" s="78"/>
      <c r="G938" s="85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84"/>
      <c r="E939" s="78"/>
      <c r="F939" s="78"/>
      <c r="G939" s="85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84"/>
      <c r="E940" s="78"/>
      <c r="F940" s="78"/>
      <c r="G940" s="85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84"/>
      <c r="E941" s="78"/>
      <c r="F941" s="78"/>
      <c r="G941" s="85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84"/>
      <c r="E942" s="78"/>
      <c r="F942" s="78"/>
      <c r="G942" s="85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84"/>
      <c r="E943" s="78"/>
      <c r="F943" s="78"/>
      <c r="G943" s="85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84"/>
      <c r="E944" s="78"/>
      <c r="F944" s="78"/>
      <c r="G944" s="85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84"/>
      <c r="E945" s="78"/>
      <c r="F945" s="78"/>
      <c r="G945" s="85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84"/>
      <c r="E946" s="78"/>
      <c r="F946" s="78"/>
      <c r="G946" s="85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84"/>
      <c r="E947" s="78"/>
      <c r="F947" s="78"/>
      <c r="G947" s="85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84"/>
      <c r="E948" s="78"/>
      <c r="F948" s="78"/>
      <c r="G948" s="85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84"/>
      <c r="E949" s="78"/>
      <c r="F949" s="78"/>
      <c r="G949" s="85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84"/>
      <c r="E950" s="78"/>
      <c r="F950" s="78"/>
      <c r="G950" s="85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84"/>
      <c r="E951" s="78"/>
      <c r="F951" s="78"/>
      <c r="G951" s="85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84"/>
      <c r="E952" s="78"/>
      <c r="F952" s="78"/>
      <c r="G952" s="85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84"/>
      <c r="E953" s="78"/>
      <c r="F953" s="78"/>
      <c r="G953" s="85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84"/>
      <c r="E954" s="78"/>
      <c r="F954" s="78"/>
      <c r="G954" s="85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84"/>
      <c r="E955" s="78"/>
      <c r="F955" s="78"/>
      <c r="G955" s="85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84"/>
      <c r="E956" s="78"/>
      <c r="F956" s="78"/>
      <c r="G956" s="85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84"/>
      <c r="E957" s="78"/>
      <c r="F957" s="78"/>
      <c r="G957" s="85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84"/>
      <c r="E958" s="78"/>
      <c r="F958" s="78"/>
      <c r="G958" s="85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84"/>
      <c r="E959" s="78"/>
      <c r="F959" s="78"/>
      <c r="G959" s="85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84"/>
      <c r="E960" s="78"/>
      <c r="F960" s="78"/>
      <c r="G960" s="85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84"/>
      <c r="E961" s="78"/>
      <c r="F961" s="78"/>
      <c r="G961" s="85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84"/>
      <c r="E962" s="78"/>
      <c r="F962" s="78"/>
      <c r="G962" s="85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84"/>
      <c r="E963" s="78"/>
      <c r="F963" s="78"/>
      <c r="G963" s="85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84"/>
      <c r="E964" s="78"/>
      <c r="F964" s="78"/>
      <c r="G964" s="85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84"/>
      <c r="E965" s="78"/>
      <c r="F965" s="78"/>
      <c r="G965" s="85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84"/>
      <c r="E966" s="78"/>
      <c r="F966" s="78"/>
      <c r="G966" s="85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84"/>
      <c r="E967" s="78"/>
      <c r="F967" s="78"/>
      <c r="G967" s="85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84"/>
      <c r="E968" s="78"/>
      <c r="F968" s="78"/>
      <c r="G968" s="85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84"/>
      <c r="E969" s="78"/>
      <c r="F969" s="78"/>
      <c r="G969" s="85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84"/>
      <c r="E970" s="78"/>
      <c r="F970" s="78"/>
      <c r="G970" s="85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84"/>
      <c r="E971" s="78"/>
      <c r="F971" s="78"/>
      <c r="G971" s="85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84"/>
      <c r="E972" s="78"/>
      <c r="F972" s="78"/>
      <c r="G972" s="85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84"/>
      <c r="E973" s="78"/>
      <c r="F973" s="78"/>
      <c r="G973" s="85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84"/>
      <c r="E974" s="78"/>
      <c r="F974" s="78"/>
      <c r="G974" s="85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84"/>
      <c r="E975" s="78"/>
      <c r="F975" s="78"/>
      <c r="G975" s="85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84"/>
      <c r="E976" s="78"/>
      <c r="F976" s="78"/>
      <c r="G976" s="85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84"/>
      <c r="E977" s="78"/>
      <c r="F977" s="78"/>
      <c r="G977" s="85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84"/>
      <c r="E978" s="78"/>
      <c r="F978" s="78"/>
      <c r="G978" s="85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84"/>
      <c r="E979" s="78"/>
      <c r="F979" s="78"/>
      <c r="G979" s="85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84"/>
      <c r="E980" s="78"/>
      <c r="F980" s="78"/>
      <c r="G980" s="85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84"/>
      <c r="E981" s="78"/>
      <c r="F981" s="78"/>
      <c r="G981" s="85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84"/>
      <c r="E982" s="78"/>
      <c r="F982" s="78"/>
      <c r="G982" s="85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84"/>
      <c r="E983" s="78"/>
      <c r="F983" s="78"/>
      <c r="G983" s="85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84"/>
      <c r="E984" s="78"/>
      <c r="F984" s="78"/>
      <c r="G984" s="85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84"/>
      <c r="E985" s="78"/>
      <c r="F985" s="78"/>
      <c r="G985" s="85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84"/>
      <c r="E986" s="78"/>
      <c r="F986" s="78"/>
      <c r="G986" s="85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84"/>
      <c r="E987" s="78"/>
      <c r="F987" s="78"/>
      <c r="G987" s="85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84"/>
      <c r="E988" s="78"/>
      <c r="F988" s="78"/>
      <c r="G988" s="85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84"/>
      <c r="E989" s="78"/>
      <c r="F989" s="78"/>
      <c r="G989" s="85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84"/>
      <c r="E990" s="78"/>
      <c r="F990" s="78"/>
      <c r="G990" s="85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84"/>
      <c r="E991" s="78"/>
      <c r="F991" s="78"/>
      <c r="G991" s="85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84"/>
      <c r="E992" s="78"/>
      <c r="F992" s="78"/>
      <c r="G992" s="85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84"/>
      <c r="E993" s="78"/>
      <c r="F993" s="78"/>
      <c r="G993" s="85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84"/>
      <c r="E994" s="78"/>
      <c r="F994" s="78"/>
      <c r="G994" s="85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84"/>
      <c r="E995" s="78"/>
      <c r="F995" s="78"/>
      <c r="G995" s="85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84"/>
      <c r="E996" s="78"/>
      <c r="F996" s="78"/>
      <c r="G996" s="85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84"/>
      <c r="E997" s="78"/>
      <c r="F997" s="78"/>
      <c r="G997" s="85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84"/>
      <c r="E998" s="78"/>
      <c r="F998" s="78"/>
      <c r="G998" s="85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84"/>
      <c r="E999" s="78"/>
      <c r="F999" s="78"/>
      <c r="G999" s="85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84"/>
      <c r="E1000" s="78"/>
      <c r="F1000" s="78"/>
      <c r="G1000" s="85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78"/>
      <c r="B1001" s="78"/>
      <c r="C1001" s="78"/>
      <c r="D1001" s="84"/>
      <c r="E1001" s="78"/>
      <c r="F1001" s="78"/>
      <c r="G1001" s="85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>
      <c r="A1002" s="78"/>
      <c r="B1002" s="78"/>
      <c r="C1002" s="78"/>
      <c r="D1002" s="84"/>
      <c r="E1002" s="78"/>
      <c r="F1002" s="78"/>
      <c r="G1002" s="85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>
      <c r="A1003" s="78"/>
      <c r="B1003" s="78"/>
      <c r="C1003" s="78"/>
      <c r="D1003" s="84"/>
      <c r="E1003" s="78"/>
      <c r="F1003" s="78"/>
      <c r="G1003" s="85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>
      <c r="A1004" s="78"/>
      <c r="B1004" s="78"/>
      <c r="C1004" s="78"/>
      <c r="D1004" s="84"/>
      <c r="E1004" s="78"/>
      <c r="F1004" s="78"/>
      <c r="G1004" s="85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>
      <c r="A1005" s="78"/>
      <c r="B1005" s="78"/>
      <c r="C1005" s="78"/>
      <c r="D1005" s="84"/>
      <c r="E1005" s="78"/>
      <c r="F1005" s="78"/>
      <c r="G1005" s="85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>
      <c r="A1006" s="78"/>
      <c r="B1006" s="78"/>
      <c r="C1006" s="78"/>
      <c r="D1006" s="84"/>
      <c r="E1006" s="78"/>
      <c r="F1006" s="78"/>
      <c r="G1006" s="85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>
      <c r="A1007" s="78"/>
      <c r="B1007" s="78"/>
      <c r="C1007" s="78"/>
      <c r="D1007" s="84"/>
      <c r="E1007" s="78"/>
      <c r="F1007" s="78"/>
      <c r="G1007" s="85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>
      <c r="A1008" s="78"/>
      <c r="B1008" s="78"/>
      <c r="C1008" s="78"/>
      <c r="D1008" s="84"/>
      <c r="E1008" s="78"/>
      <c r="F1008" s="78"/>
      <c r="G1008" s="85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>
      <c r="A1009" s="78"/>
      <c r="B1009" s="78"/>
      <c r="C1009" s="78"/>
      <c r="D1009" s="84"/>
      <c r="E1009" s="78"/>
      <c r="F1009" s="78"/>
      <c r="G1009" s="85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>
      <c r="A1010" s="78"/>
      <c r="B1010" s="78"/>
      <c r="C1010" s="78"/>
      <c r="D1010" s="84"/>
      <c r="E1010" s="78"/>
      <c r="F1010" s="78"/>
      <c r="G1010" s="85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>
      <c r="A1011" s="78"/>
      <c r="B1011" s="78"/>
      <c r="C1011" s="78"/>
      <c r="D1011" s="84"/>
      <c r="E1011" s="78"/>
      <c r="F1011" s="78"/>
      <c r="G1011" s="85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>
      <c r="A1012" s="78"/>
      <c r="B1012" s="78"/>
      <c r="C1012" s="78"/>
      <c r="D1012" s="84"/>
      <c r="E1012" s="78"/>
      <c r="F1012" s="78"/>
      <c r="G1012" s="85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>
      <c r="A1013" s="78"/>
      <c r="B1013" s="78"/>
      <c r="C1013" s="78"/>
      <c r="D1013" s="84"/>
      <c r="E1013" s="78"/>
      <c r="F1013" s="78"/>
      <c r="G1013" s="85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  <row r="1014">
      <c r="A1014" s="78"/>
      <c r="B1014" s="78"/>
      <c r="C1014" s="78"/>
      <c r="D1014" s="84"/>
      <c r="E1014" s="78"/>
      <c r="F1014" s="78"/>
      <c r="G1014" s="85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</row>
    <row r="1015">
      <c r="A1015" s="78"/>
      <c r="B1015" s="78"/>
      <c r="C1015" s="78"/>
      <c r="D1015" s="84"/>
      <c r="E1015" s="78"/>
      <c r="F1015" s="78"/>
      <c r="G1015" s="85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</row>
    <row r="1016">
      <c r="A1016" s="78"/>
      <c r="B1016" s="78"/>
      <c r="C1016" s="78"/>
      <c r="D1016" s="84"/>
      <c r="E1016" s="78"/>
      <c r="F1016" s="78"/>
      <c r="G1016" s="85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</row>
    <row r="1017">
      <c r="A1017" s="78"/>
      <c r="B1017" s="78"/>
      <c r="C1017" s="78"/>
      <c r="D1017" s="84"/>
      <c r="E1017" s="78"/>
      <c r="F1017" s="78"/>
      <c r="G1017" s="85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</row>
    <row r="1018">
      <c r="A1018" s="78"/>
      <c r="B1018" s="78"/>
      <c r="C1018" s="78"/>
      <c r="D1018" s="84"/>
      <c r="E1018" s="78"/>
      <c r="F1018" s="78"/>
      <c r="G1018" s="85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</row>
    <row r="1019">
      <c r="A1019" s="78"/>
      <c r="B1019" s="78"/>
      <c r="C1019" s="78"/>
      <c r="D1019" s="84"/>
      <c r="E1019" s="78"/>
      <c r="F1019" s="78"/>
      <c r="G1019" s="85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</row>
    <row r="1020">
      <c r="A1020" s="78"/>
      <c r="B1020" s="78"/>
      <c r="C1020" s="78"/>
      <c r="D1020" s="84"/>
      <c r="E1020" s="78"/>
      <c r="F1020" s="78"/>
      <c r="G1020" s="85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</row>
    <row r="1021">
      <c r="A1021" s="78"/>
      <c r="B1021" s="78"/>
      <c r="C1021" s="78"/>
      <c r="D1021" s="84"/>
      <c r="E1021" s="78"/>
      <c r="F1021" s="78"/>
      <c r="G1021" s="85"/>
      <c r="H1021" s="78"/>
      <c r="I1021" s="78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</row>
    <row r="1022">
      <c r="A1022" s="78"/>
      <c r="B1022" s="78"/>
      <c r="C1022" s="78"/>
      <c r="D1022" s="84"/>
      <c r="E1022" s="78"/>
      <c r="F1022" s="78"/>
      <c r="G1022" s="85"/>
      <c r="H1022" s="78"/>
      <c r="I1022" s="78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</row>
    <row r="1023">
      <c r="A1023" s="78"/>
      <c r="B1023" s="78"/>
      <c r="C1023" s="78"/>
      <c r="D1023" s="84"/>
      <c r="E1023" s="78"/>
      <c r="F1023" s="78"/>
      <c r="G1023" s="85"/>
      <c r="H1023" s="78"/>
      <c r="I1023" s="78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</row>
    <row r="1024">
      <c r="A1024" s="78"/>
      <c r="B1024" s="78"/>
      <c r="C1024" s="78"/>
      <c r="D1024" s="84"/>
      <c r="E1024" s="78"/>
      <c r="F1024" s="78"/>
      <c r="G1024" s="85"/>
      <c r="H1024" s="78"/>
      <c r="I1024" s="78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</row>
    <row r="1025">
      <c r="A1025" s="78"/>
      <c r="B1025" s="78"/>
      <c r="C1025" s="78"/>
      <c r="D1025" s="84"/>
      <c r="E1025" s="78"/>
      <c r="F1025" s="78"/>
      <c r="G1025" s="85"/>
      <c r="H1025" s="78"/>
      <c r="I1025" s="78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</row>
    <row r="1026">
      <c r="A1026" s="78"/>
      <c r="B1026" s="78"/>
      <c r="C1026" s="78"/>
      <c r="D1026" s="84"/>
      <c r="E1026" s="78"/>
      <c r="F1026" s="78"/>
      <c r="G1026" s="85"/>
      <c r="H1026" s="78"/>
      <c r="I1026" s="78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</row>
    <row r="1027">
      <c r="A1027" s="78"/>
      <c r="B1027" s="78"/>
      <c r="C1027" s="78"/>
      <c r="D1027" s="84"/>
      <c r="E1027" s="78"/>
      <c r="F1027" s="78"/>
      <c r="G1027" s="85"/>
      <c r="H1027" s="78"/>
      <c r="I1027" s="78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</row>
    <row r="1028">
      <c r="A1028" s="78"/>
      <c r="B1028" s="78"/>
      <c r="C1028" s="78"/>
      <c r="D1028" s="84"/>
      <c r="E1028" s="78"/>
      <c r="F1028" s="78"/>
      <c r="G1028" s="85"/>
      <c r="H1028" s="78"/>
      <c r="I1028" s="78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</row>
    <row r="1029">
      <c r="A1029" s="78"/>
      <c r="B1029" s="78"/>
      <c r="C1029" s="78"/>
      <c r="D1029" s="84"/>
      <c r="E1029" s="78"/>
      <c r="F1029" s="78"/>
      <c r="G1029" s="85"/>
      <c r="H1029" s="78"/>
      <c r="I1029" s="78"/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</row>
    <row r="1030">
      <c r="A1030" s="78"/>
      <c r="B1030" s="78"/>
      <c r="C1030" s="78"/>
      <c r="D1030" s="84"/>
      <c r="E1030" s="78"/>
      <c r="F1030" s="78"/>
      <c r="G1030" s="85"/>
      <c r="H1030" s="78"/>
      <c r="I1030" s="78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</row>
    <row r="1031">
      <c r="A1031" s="78"/>
      <c r="B1031" s="78"/>
      <c r="C1031" s="78"/>
      <c r="D1031" s="84"/>
      <c r="E1031" s="78"/>
      <c r="F1031" s="78"/>
      <c r="G1031" s="85"/>
      <c r="H1031" s="78"/>
      <c r="I1031" s="78"/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</row>
    <row r="1032">
      <c r="A1032" s="78"/>
      <c r="B1032" s="78"/>
      <c r="C1032" s="78"/>
      <c r="D1032" s="84"/>
      <c r="E1032" s="78"/>
      <c r="F1032" s="78"/>
      <c r="G1032" s="85"/>
      <c r="H1032" s="78"/>
      <c r="I1032" s="78"/>
      <c r="J1032" s="78"/>
      <c r="K1032" s="78"/>
      <c r="L1032" s="78"/>
      <c r="M1032" s="78"/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</row>
    <row r="1033">
      <c r="A1033" s="78"/>
      <c r="B1033" s="78"/>
      <c r="C1033" s="78"/>
      <c r="D1033" s="84"/>
      <c r="E1033" s="78"/>
      <c r="F1033" s="78"/>
      <c r="G1033" s="85"/>
      <c r="H1033" s="78"/>
      <c r="I1033" s="78"/>
      <c r="J1033" s="78"/>
      <c r="K1033" s="78"/>
      <c r="L1033" s="78"/>
      <c r="M1033" s="78"/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</row>
    <row r="1034">
      <c r="A1034" s="78"/>
      <c r="B1034" s="78"/>
      <c r="C1034" s="78"/>
      <c r="D1034" s="84"/>
      <c r="E1034" s="78"/>
      <c r="F1034" s="78"/>
      <c r="G1034" s="85"/>
      <c r="H1034" s="78"/>
      <c r="I1034" s="78"/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</row>
    <row r="1035">
      <c r="A1035" s="78"/>
      <c r="B1035" s="78"/>
      <c r="C1035" s="78"/>
      <c r="D1035" s="84"/>
      <c r="E1035" s="78"/>
      <c r="F1035" s="78"/>
      <c r="G1035" s="85"/>
      <c r="H1035" s="78"/>
      <c r="I1035" s="78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</row>
    <row r="1036">
      <c r="A1036" s="78"/>
      <c r="B1036" s="78"/>
      <c r="C1036" s="78"/>
      <c r="D1036" s="84"/>
      <c r="E1036" s="78"/>
      <c r="F1036" s="78"/>
      <c r="G1036" s="85"/>
      <c r="H1036" s="78"/>
      <c r="I1036" s="78"/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</row>
    <row r="1037">
      <c r="A1037" s="78"/>
      <c r="B1037" s="78"/>
      <c r="C1037" s="78"/>
      <c r="D1037" s="84"/>
      <c r="E1037" s="78"/>
      <c r="F1037" s="78"/>
      <c r="G1037" s="85"/>
      <c r="H1037" s="78"/>
      <c r="I1037" s="78"/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</row>
    <row r="1038">
      <c r="A1038" s="78"/>
      <c r="B1038" s="78"/>
      <c r="C1038" s="78"/>
      <c r="D1038" s="84"/>
      <c r="E1038" s="78"/>
      <c r="F1038" s="78"/>
      <c r="G1038" s="85"/>
      <c r="H1038" s="78"/>
      <c r="I1038" s="78"/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</row>
    <row r="1039">
      <c r="A1039" s="78"/>
      <c r="B1039" s="78"/>
      <c r="C1039" s="78"/>
      <c r="D1039" s="84"/>
      <c r="E1039" s="78"/>
      <c r="F1039" s="78"/>
      <c r="G1039" s="85"/>
      <c r="H1039" s="78"/>
      <c r="I1039" s="78"/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</row>
    <row r="1040">
      <c r="A1040" s="78"/>
      <c r="B1040" s="78"/>
      <c r="C1040" s="78"/>
      <c r="D1040" s="84"/>
      <c r="E1040" s="78"/>
      <c r="F1040" s="78"/>
      <c r="G1040" s="85"/>
      <c r="H1040" s="78"/>
      <c r="I1040" s="78"/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</row>
    <row r="1041">
      <c r="A1041" s="78"/>
      <c r="B1041" s="78"/>
      <c r="C1041" s="78"/>
      <c r="D1041" s="84"/>
      <c r="E1041" s="78"/>
      <c r="F1041" s="78"/>
      <c r="G1041" s="85"/>
      <c r="H1041" s="78"/>
      <c r="I1041" s="78"/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</row>
    <row r="1042">
      <c r="A1042" s="78"/>
      <c r="B1042" s="78"/>
      <c r="C1042" s="78"/>
      <c r="D1042" s="84"/>
      <c r="E1042" s="78"/>
      <c r="F1042" s="78"/>
      <c r="G1042" s="85"/>
      <c r="H1042" s="78"/>
      <c r="I1042" s="78"/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</row>
    <row r="1043">
      <c r="A1043" s="78"/>
      <c r="B1043" s="78"/>
      <c r="C1043" s="78"/>
      <c r="D1043" s="84"/>
      <c r="E1043" s="78"/>
      <c r="F1043" s="78"/>
      <c r="G1043" s="85"/>
      <c r="H1043" s="78"/>
      <c r="I1043" s="78"/>
      <c r="J1043" s="78"/>
      <c r="K1043" s="78"/>
      <c r="L1043" s="78"/>
      <c r="M1043" s="78"/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</row>
    <row r="1044">
      <c r="A1044" s="78"/>
      <c r="B1044" s="78"/>
      <c r="C1044" s="78"/>
      <c r="D1044" s="84"/>
      <c r="E1044" s="78"/>
      <c r="F1044" s="78"/>
      <c r="G1044" s="85"/>
      <c r="H1044" s="78"/>
      <c r="I1044" s="78"/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</row>
    <row r="1045">
      <c r="A1045" s="78"/>
      <c r="B1045" s="78"/>
      <c r="C1045" s="78"/>
      <c r="D1045" s="84"/>
      <c r="E1045" s="78"/>
      <c r="F1045" s="78"/>
      <c r="G1045" s="85"/>
      <c r="H1045" s="78"/>
      <c r="I1045" s="78"/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</row>
    <row r="1046">
      <c r="A1046" s="78"/>
      <c r="B1046" s="78"/>
      <c r="C1046" s="78"/>
      <c r="D1046" s="84"/>
      <c r="E1046" s="78"/>
      <c r="F1046" s="78"/>
      <c r="G1046" s="85"/>
      <c r="H1046" s="78"/>
      <c r="I1046" s="78"/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</row>
    <row r="1047">
      <c r="A1047" s="78"/>
      <c r="B1047" s="78"/>
      <c r="C1047" s="78"/>
      <c r="D1047" s="84"/>
      <c r="E1047" s="78"/>
      <c r="F1047" s="78"/>
      <c r="G1047" s="85"/>
      <c r="H1047" s="78"/>
      <c r="I1047" s="78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</row>
    <row r="1048">
      <c r="A1048" s="78"/>
      <c r="B1048" s="78"/>
      <c r="C1048" s="78"/>
      <c r="D1048" s="84"/>
      <c r="E1048" s="78"/>
      <c r="F1048" s="78"/>
      <c r="G1048" s="85"/>
      <c r="H1048" s="78"/>
      <c r="I1048" s="78"/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</row>
    <row r="1049">
      <c r="A1049" s="78"/>
      <c r="B1049" s="78"/>
      <c r="C1049" s="78"/>
      <c r="D1049" s="84"/>
      <c r="E1049" s="78"/>
      <c r="F1049" s="78"/>
      <c r="G1049" s="85"/>
      <c r="H1049" s="78"/>
      <c r="I1049" s="78"/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</row>
    <row r="1050">
      <c r="A1050" s="78"/>
      <c r="B1050" s="78"/>
      <c r="C1050" s="78"/>
      <c r="D1050" s="84"/>
      <c r="E1050" s="78"/>
      <c r="F1050" s="78"/>
      <c r="G1050" s="85"/>
      <c r="H1050" s="78"/>
      <c r="I1050" s="78"/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</row>
    <row r="1051">
      <c r="A1051" s="78"/>
      <c r="B1051" s="78"/>
      <c r="C1051" s="78"/>
      <c r="D1051" s="84"/>
      <c r="E1051" s="78"/>
      <c r="F1051" s="78"/>
      <c r="G1051" s="85"/>
      <c r="H1051" s="78"/>
      <c r="I1051" s="78"/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</row>
    <row r="1052">
      <c r="A1052" s="78"/>
      <c r="B1052" s="78"/>
      <c r="C1052" s="78"/>
      <c r="D1052" s="84"/>
      <c r="E1052" s="78"/>
      <c r="F1052" s="78"/>
      <c r="G1052" s="85"/>
      <c r="H1052" s="78"/>
      <c r="I1052" s="78"/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</row>
    <row r="1053">
      <c r="A1053" s="78"/>
      <c r="B1053" s="78"/>
      <c r="C1053" s="78"/>
      <c r="D1053" s="84"/>
      <c r="E1053" s="78"/>
      <c r="F1053" s="78"/>
      <c r="G1053" s="85"/>
      <c r="H1053" s="78"/>
      <c r="I1053" s="78"/>
      <c r="J1053" s="78"/>
      <c r="K1053" s="78"/>
      <c r="L1053" s="78"/>
      <c r="M1053" s="78"/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</row>
    <row r="1054">
      <c r="A1054" s="78"/>
      <c r="B1054" s="78"/>
      <c r="C1054" s="78"/>
      <c r="D1054" s="84"/>
      <c r="E1054" s="78"/>
      <c r="F1054" s="78"/>
      <c r="G1054" s="85"/>
      <c r="H1054" s="78"/>
      <c r="I1054" s="78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</row>
    <row r="1055">
      <c r="A1055" s="78"/>
      <c r="B1055" s="78"/>
      <c r="C1055" s="78"/>
      <c r="D1055" s="84"/>
      <c r="E1055" s="78"/>
      <c r="F1055" s="78"/>
      <c r="G1055" s="85"/>
      <c r="H1055" s="78"/>
      <c r="I1055" s="78"/>
      <c r="J1055" s="78"/>
      <c r="K1055" s="78"/>
      <c r="L1055" s="78"/>
      <c r="M1055" s="78"/>
      <c r="N1055" s="78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  <c r="Z1055" s="78"/>
    </row>
    <row r="1056">
      <c r="A1056" s="78"/>
      <c r="B1056" s="78"/>
      <c r="C1056" s="78"/>
      <c r="D1056" s="84"/>
      <c r="E1056" s="78"/>
      <c r="F1056" s="78"/>
      <c r="G1056" s="85"/>
      <c r="H1056" s="78"/>
      <c r="I1056" s="78"/>
      <c r="J1056" s="78"/>
      <c r="K1056" s="78"/>
      <c r="L1056" s="78"/>
      <c r="M1056" s="78"/>
      <c r="N1056" s="78"/>
      <c r="O1056" s="78"/>
      <c r="P1056" s="78"/>
      <c r="Q1056" s="78"/>
      <c r="R1056" s="78"/>
      <c r="S1056" s="78"/>
      <c r="T1056" s="78"/>
      <c r="U1056" s="78"/>
      <c r="V1056" s="78"/>
      <c r="W1056" s="78"/>
      <c r="X1056" s="78"/>
      <c r="Y1056" s="78"/>
      <c r="Z1056" s="78"/>
    </row>
    <row r="1057">
      <c r="A1057" s="78"/>
      <c r="B1057" s="78"/>
      <c r="C1057" s="78"/>
      <c r="D1057" s="84"/>
      <c r="E1057" s="78"/>
      <c r="F1057" s="78"/>
      <c r="G1057" s="85"/>
      <c r="H1057" s="78"/>
      <c r="I1057" s="78"/>
      <c r="J1057" s="78"/>
      <c r="K1057" s="78"/>
      <c r="L1057" s="78"/>
      <c r="M1057" s="78"/>
      <c r="N1057" s="78"/>
      <c r="O1057" s="78"/>
      <c r="P1057" s="78"/>
      <c r="Q1057" s="78"/>
      <c r="R1057" s="78"/>
      <c r="S1057" s="78"/>
      <c r="T1057" s="78"/>
      <c r="U1057" s="78"/>
      <c r="V1057" s="78"/>
      <c r="W1057" s="78"/>
      <c r="X1057" s="78"/>
      <c r="Y1057" s="78"/>
      <c r="Z1057" s="78"/>
    </row>
    <row r="1058">
      <c r="A1058" s="78"/>
      <c r="B1058" s="78"/>
      <c r="C1058" s="78"/>
      <c r="D1058" s="84"/>
      <c r="E1058" s="78"/>
      <c r="F1058" s="78"/>
      <c r="G1058" s="85"/>
      <c r="H1058" s="78"/>
      <c r="I1058" s="78"/>
      <c r="J1058" s="78"/>
      <c r="K1058" s="78"/>
      <c r="L1058" s="78"/>
      <c r="M1058" s="78"/>
      <c r="N1058" s="78"/>
      <c r="O1058" s="78"/>
      <c r="P1058" s="78"/>
      <c r="Q1058" s="78"/>
      <c r="R1058" s="78"/>
      <c r="S1058" s="78"/>
      <c r="T1058" s="78"/>
      <c r="U1058" s="78"/>
      <c r="V1058" s="78"/>
      <c r="W1058" s="78"/>
      <c r="X1058" s="78"/>
      <c r="Y1058" s="78"/>
      <c r="Z1058" s="78"/>
    </row>
    <row r="1059">
      <c r="A1059" s="78"/>
      <c r="B1059" s="78"/>
      <c r="C1059" s="78"/>
      <c r="D1059" s="84"/>
      <c r="E1059" s="78"/>
      <c r="F1059" s="78"/>
      <c r="G1059" s="85"/>
      <c r="H1059" s="78"/>
      <c r="I1059" s="78"/>
      <c r="J1059" s="78"/>
      <c r="K1059" s="78"/>
      <c r="L1059" s="78"/>
      <c r="M1059" s="78"/>
      <c r="N1059" s="78"/>
      <c r="O1059" s="78"/>
      <c r="P1059" s="78"/>
      <c r="Q1059" s="78"/>
      <c r="R1059" s="78"/>
      <c r="S1059" s="78"/>
      <c r="T1059" s="78"/>
      <c r="U1059" s="78"/>
      <c r="V1059" s="78"/>
      <c r="W1059" s="78"/>
      <c r="X1059" s="78"/>
      <c r="Y1059" s="78"/>
      <c r="Z1059" s="78"/>
    </row>
    <row r="1060">
      <c r="A1060" s="78"/>
      <c r="B1060" s="78"/>
      <c r="C1060" s="78"/>
      <c r="D1060" s="84"/>
      <c r="E1060" s="78"/>
      <c r="F1060" s="78"/>
      <c r="G1060" s="85"/>
      <c r="H1060" s="78"/>
      <c r="I1060" s="78"/>
      <c r="J1060" s="78"/>
      <c r="K1060" s="78"/>
      <c r="L1060" s="78"/>
      <c r="M1060" s="78"/>
      <c r="N1060" s="78"/>
      <c r="O1060" s="78"/>
      <c r="P1060" s="78"/>
      <c r="Q1060" s="78"/>
      <c r="R1060" s="78"/>
      <c r="S1060" s="78"/>
      <c r="T1060" s="78"/>
      <c r="U1060" s="78"/>
      <c r="V1060" s="78"/>
      <c r="W1060" s="78"/>
      <c r="X1060" s="78"/>
      <c r="Y1060" s="78"/>
      <c r="Z1060" s="78"/>
    </row>
    <row r="1061">
      <c r="A1061" s="78"/>
      <c r="B1061" s="78"/>
      <c r="C1061" s="78"/>
      <c r="D1061" s="84"/>
      <c r="E1061" s="78"/>
      <c r="F1061" s="78"/>
      <c r="G1061" s="85"/>
      <c r="H1061" s="78"/>
      <c r="I1061" s="78"/>
      <c r="J1061" s="78"/>
      <c r="K1061" s="78"/>
      <c r="L1061" s="78"/>
      <c r="M1061" s="78"/>
      <c r="N1061" s="78"/>
      <c r="O1061" s="78"/>
      <c r="P1061" s="78"/>
      <c r="Q1061" s="78"/>
      <c r="R1061" s="78"/>
      <c r="S1061" s="78"/>
      <c r="T1061" s="78"/>
      <c r="U1061" s="78"/>
      <c r="V1061" s="78"/>
      <c r="W1061" s="78"/>
      <c r="X1061" s="78"/>
      <c r="Y1061" s="78"/>
      <c r="Z1061" s="78"/>
    </row>
    <row r="1062">
      <c r="A1062" s="78"/>
      <c r="B1062" s="78"/>
      <c r="C1062" s="78"/>
      <c r="D1062" s="84"/>
      <c r="E1062" s="78"/>
      <c r="F1062" s="78"/>
      <c r="G1062" s="85"/>
      <c r="H1062" s="78"/>
      <c r="I1062" s="78"/>
      <c r="J1062" s="78"/>
      <c r="K1062" s="78"/>
      <c r="L1062" s="78"/>
      <c r="M1062" s="78"/>
      <c r="N1062" s="78"/>
      <c r="O1062" s="78"/>
      <c r="P1062" s="78"/>
      <c r="Q1062" s="78"/>
      <c r="R1062" s="78"/>
      <c r="S1062" s="78"/>
      <c r="T1062" s="78"/>
      <c r="U1062" s="78"/>
      <c r="V1062" s="78"/>
      <c r="W1062" s="78"/>
      <c r="X1062" s="78"/>
      <c r="Y1062" s="78"/>
      <c r="Z1062" s="78"/>
    </row>
    <row r="1063">
      <c r="A1063" s="78"/>
      <c r="B1063" s="78"/>
      <c r="C1063" s="78"/>
      <c r="D1063" s="84"/>
      <c r="E1063" s="78"/>
      <c r="F1063" s="78"/>
      <c r="G1063" s="85"/>
      <c r="H1063" s="78"/>
      <c r="I1063" s="78"/>
      <c r="J1063" s="78"/>
      <c r="K1063" s="78"/>
      <c r="L1063" s="78"/>
      <c r="M1063" s="78"/>
      <c r="N1063" s="78"/>
      <c r="O1063" s="78"/>
      <c r="P1063" s="78"/>
      <c r="Q1063" s="78"/>
      <c r="R1063" s="78"/>
      <c r="S1063" s="78"/>
      <c r="T1063" s="78"/>
      <c r="U1063" s="78"/>
      <c r="V1063" s="78"/>
      <c r="W1063" s="78"/>
      <c r="X1063" s="78"/>
      <c r="Y1063" s="78"/>
      <c r="Z1063" s="78"/>
    </row>
    <row r="1064">
      <c r="A1064" s="78"/>
      <c r="B1064" s="78"/>
      <c r="C1064" s="78"/>
      <c r="D1064" s="84"/>
      <c r="E1064" s="78"/>
      <c r="F1064" s="78"/>
      <c r="G1064" s="85"/>
      <c r="H1064" s="78"/>
      <c r="I1064" s="78"/>
      <c r="J1064" s="78"/>
      <c r="K1064" s="78"/>
      <c r="L1064" s="78"/>
      <c r="M1064" s="78"/>
      <c r="N1064" s="78"/>
      <c r="O1064" s="78"/>
      <c r="P1064" s="78"/>
      <c r="Q1064" s="78"/>
      <c r="R1064" s="78"/>
      <c r="S1064" s="78"/>
      <c r="T1064" s="78"/>
      <c r="U1064" s="78"/>
      <c r="V1064" s="78"/>
      <c r="W1064" s="78"/>
      <c r="X1064" s="78"/>
      <c r="Y1064" s="78"/>
      <c r="Z1064" s="78"/>
    </row>
    <row r="1065">
      <c r="A1065" s="78"/>
      <c r="B1065" s="78"/>
      <c r="C1065" s="78"/>
      <c r="D1065" s="84"/>
      <c r="E1065" s="78"/>
      <c r="F1065" s="78"/>
      <c r="G1065" s="85"/>
      <c r="H1065" s="78"/>
      <c r="I1065" s="78"/>
      <c r="J1065" s="78"/>
      <c r="K1065" s="78"/>
      <c r="L1065" s="78"/>
      <c r="M1065" s="78"/>
      <c r="N1065" s="78"/>
      <c r="O1065" s="78"/>
      <c r="P1065" s="78"/>
      <c r="Q1065" s="78"/>
      <c r="R1065" s="78"/>
      <c r="S1065" s="78"/>
      <c r="T1065" s="78"/>
      <c r="U1065" s="78"/>
      <c r="V1065" s="78"/>
      <c r="W1065" s="78"/>
      <c r="X1065" s="78"/>
      <c r="Y1065" s="78"/>
      <c r="Z1065" s="78"/>
    </row>
    <row r="1066">
      <c r="A1066" s="78"/>
      <c r="B1066" s="78"/>
      <c r="C1066" s="78"/>
      <c r="D1066" s="84"/>
      <c r="E1066" s="78"/>
      <c r="F1066" s="78"/>
      <c r="G1066" s="85"/>
      <c r="H1066" s="78"/>
      <c r="I1066" s="78"/>
      <c r="J1066" s="78"/>
      <c r="K1066" s="78"/>
      <c r="L1066" s="78"/>
      <c r="M1066" s="78"/>
      <c r="N1066" s="78"/>
      <c r="O1066" s="78"/>
      <c r="P1066" s="78"/>
      <c r="Q1066" s="78"/>
      <c r="R1066" s="78"/>
      <c r="S1066" s="78"/>
      <c r="T1066" s="78"/>
      <c r="U1066" s="78"/>
      <c r="V1066" s="78"/>
      <c r="W1066" s="78"/>
      <c r="X1066" s="78"/>
      <c r="Y1066" s="78"/>
      <c r="Z1066" s="78"/>
    </row>
    <row r="1067">
      <c r="A1067" s="78"/>
      <c r="B1067" s="78"/>
      <c r="C1067" s="78"/>
      <c r="D1067" s="84"/>
      <c r="E1067" s="78"/>
      <c r="F1067" s="78"/>
      <c r="G1067" s="85"/>
      <c r="H1067" s="78"/>
      <c r="I1067" s="78"/>
      <c r="J1067" s="78"/>
      <c r="K1067" s="78"/>
      <c r="L1067" s="78"/>
      <c r="M1067" s="78"/>
      <c r="N1067" s="78"/>
      <c r="O1067" s="78"/>
      <c r="P1067" s="78"/>
      <c r="Q1067" s="78"/>
      <c r="R1067" s="78"/>
      <c r="S1067" s="78"/>
      <c r="T1067" s="78"/>
      <c r="U1067" s="78"/>
      <c r="V1067" s="78"/>
      <c r="W1067" s="78"/>
      <c r="X1067" s="78"/>
      <c r="Y1067" s="78"/>
      <c r="Z1067" s="78"/>
    </row>
    <row r="1068">
      <c r="A1068" s="78"/>
      <c r="B1068" s="78"/>
      <c r="C1068" s="78"/>
      <c r="D1068" s="84"/>
      <c r="E1068" s="78"/>
      <c r="F1068" s="78"/>
      <c r="G1068" s="85"/>
      <c r="H1068" s="78"/>
      <c r="I1068" s="78"/>
      <c r="J1068" s="78"/>
      <c r="K1068" s="78"/>
      <c r="L1068" s="78"/>
      <c r="M1068" s="78"/>
      <c r="N1068" s="78"/>
      <c r="O1068" s="78"/>
      <c r="P1068" s="78"/>
      <c r="Q1068" s="78"/>
      <c r="R1068" s="78"/>
      <c r="S1068" s="78"/>
      <c r="T1068" s="78"/>
      <c r="U1068" s="78"/>
      <c r="V1068" s="78"/>
      <c r="W1068" s="78"/>
      <c r="X1068" s="78"/>
      <c r="Y1068" s="78"/>
      <c r="Z1068" s="78"/>
    </row>
    <row r="1069">
      <c r="A1069" s="78"/>
      <c r="B1069" s="78"/>
      <c r="C1069" s="78"/>
      <c r="D1069" s="84"/>
      <c r="E1069" s="78"/>
      <c r="F1069" s="78"/>
      <c r="G1069" s="85"/>
      <c r="H1069" s="78"/>
      <c r="I1069" s="78"/>
      <c r="J1069" s="78"/>
      <c r="K1069" s="78"/>
      <c r="L1069" s="78"/>
      <c r="M1069" s="78"/>
      <c r="N1069" s="78"/>
      <c r="O1069" s="78"/>
      <c r="P1069" s="78"/>
      <c r="Q1069" s="78"/>
      <c r="R1069" s="78"/>
      <c r="S1069" s="78"/>
      <c r="T1069" s="78"/>
      <c r="U1069" s="78"/>
      <c r="V1069" s="78"/>
      <c r="W1069" s="78"/>
      <c r="X1069" s="78"/>
      <c r="Y1069" s="78"/>
      <c r="Z1069" s="78"/>
    </row>
    <row r="1070">
      <c r="A1070" s="78"/>
      <c r="B1070" s="78"/>
      <c r="C1070" s="78"/>
      <c r="D1070" s="84"/>
      <c r="E1070" s="78"/>
      <c r="F1070" s="78"/>
      <c r="G1070" s="85"/>
      <c r="H1070" s="78"/>
      <c r="I1070" s="78"/>
      <c r="J1070" s="78"/>
      <c r="K1070" s="78"/>
      <c r="L1070" s="78"/>
      <c r="M1070" s="78"/>
      <c r="N1070" s="78"/>
      <c r="O1070" s="78"/>
      <c r="P1070" s="78"/>
      <c r="Q1070" s="78"/>
      <c r="R1070" s="78"/>
      <c r="S1070" s="78"/>
      <c r="T1070" s="78"/>
      <c r="U1070" s="78"/>
      <c r="V1070" s="78"/>
      <c r="W1070" s="78"/>
      <c r="X1070" s="78"/>
      <c r="Y1070" s="78"/>
      <c r="Z1070" s="78"/>
    </row>
    <row r="1071">
      <c r="A1071" s="78"/>
      <c r="B1071" s="78"/>
      <c r="C1071" s="78"/>
      <c r="D1071" s="84"/>
      <c r="E1071" s="78"/>
      <c r="F1071" s="78"/>
      <c r="G1071" s="85"/>
      <c r="H1071" s="78"/>
      <c r="I1071" s="78"/>
      <c r="J1071" s="78"/>
      <c r="K1071" s="78"/>
      <c r="L1071" s="78"/>
      <c r="M1071" s="78"/>
      <c r="N1071" s="78"/>
      <c r="O1071" s="78"/>
      <c r="P1071" s="78"/>
      <c r="Q1071" s="78"/>
      <c r="R1071" s="78"/>
      <c r="S1071" s="78"/>
      <c r="T1071" s="78"/>
      <c r="U1071" s="78"/>
      <c r="V1071" s="78"/>
      <c r="W1071" s="78"/>
      <c r="X1071" s="78"/>
      <c r="Y1071" s="78"/>
      <c r="Z1071" s="78"/>
    </row>
    <row r="1072">
      <c r="A1072" s="78"/>
      <c r="B1072" s="78"/>
      <c r="C1072" s="78"/>
      <c r="D1072" s="84"/>
      <c r="E1072" s="78"/>
      <c r="F1072" s="78"/>
      <c r="G1072" s="85"/>
      <c r="H1072" s="78"/>
      <c r="I1072" s="78"/>
      <c r="J1072" s="78"/>
      <c r="K1072" s="78"/>
      <c r="L1072" s="78"/>
      <c r="M1072" s="78"/>
      <c r="N1072" s="78"/>
      <c r="O1072" s="78"/>
      <c r="P1072" s="78"/>
      <c r="Q1072" s="78"/>
      <c r="R1072" s="78"/>
      <c r="S1072" s="78"/>
      <c r="T1072" s="78"/>
      <c r="U1072" s="78"/>
      <c r="V1072" s="78"/>
      <c r="W1072" s="78"/>
      <c r="X1072" s="78"/>
      <c r="Y1072" s="78"/>
      <c r="Z1072" s="78"/>
    </row>
    <row r="1073">
      <c r="A1073" s="78"/>
      <c r="B1073" s="78"/>
      <c r="C1073" s="78"/>
      <c r="D1073" s="84"/>
      <c r="E1073" s="78"/>
      <c r="F1073" s="78"/>
      <c r="G1073" s="85"/>
      <c r="H1073" s="78"/>
      <c r="I1073" s="78"/>
      <c r="J1073" s="78"/>
      <c r="K1073" s="78"/>
      <c r="L1073" s="78"/>
      <c r="M1073" s="78"/>
      <c r="N1073" s="78"/>
      <c r="O1073" s="78"/>
      <c r="P1073" s="78"/>
      <c r="Q1073" s="78"/>
      <c r="R1073" s="78"/>
      <c r="S1073" s="78"/>
      <c r="T1073" s="78"/>
      <c r="U1073" s="78"/>
      <c r="V1073" s="78"/>
      <c r="W1073" s="78"/>
      <c r="X1073" s="78"/>
      <c r="Y1073" s="78"/>
      <c r="Z1073" s="78"/>
    </row>
    <row r="1074">
      <c r="A1074" s="78"/>
      <c r="B1074" s="78"/>
      <c r="C1074" s="78"/>
      <c r="D1074" s="84"/>
      <c r="E1074" s="78"/>
      <c r="F1074" s="78"/>
      <c r="G1074" s="85"/>
      <c r="H1074" s="78"/>
      <c r="I1074" s="78"/>
      <c r="J1074" s="78"/>
      <c r="K1074" s="78"/>
      <c r="L1074" s="78"/>
      <c r="M1074" s="78"/>
      <c r="N1074" s="78"/>
      <c r="O1074" s="78"/>
      <c r="P1074" s="78"/>
      <c r="Q1074" s="78"/>
      <c r="R1074" s="78"/>
      <c r="S1074" s="78"/>
      <c r="T1074" s="78"/>
      <c r="U1074" s="78"/>
      <c r="V1074" s="78"/>
      <c r="W1074" s="78"/>
      <c r="X1074" s="78"/>
      <c r="Y1074" s="78"/>
      <c r="Z1074" s="78"/>
    </row>
    <row r="1075">
      <c r="A1075" s="78"/>
      <c r="B1075" s="78"/>
      <c r="C1075" s="78"/>
      <c r="D1075" s="84"/>
      <c r="E1075" s="78"/>
      <c r="F1075" s="78"/>
      <c r="G1075" s="85"/>
      <c r="H1075" s="78"/>
      <c r="I1075" s="78"/>
      <c r="J1075" s="78"/>
      <c r="K1075" s="78"/>
      <c r="L1075" s="78"/>
      <c r="M1075" s="78"/>
      <c r="N1075" s="78"/>
      <c r="O1075" s="78"/>
      <c r="P1075" s="78"/>
      <c r="Q1075" s="78"/>
      <c r="R1075" s="78"/>
      <c r="S1075" s="78"/>
      <c r="T1075" s="78"/>
      <c r="U1075" s="78"/>
      <c r="V1075" s="78"/>
      <c r="W1075" s="78"/>
      <c r="X1075" s="78"/>
      <c r="Y1075" s="78"/>
      <c r="Z1075" s="78"/>
    </row>
    <row r="1076">
      <c r="A1076" s="78"/>
      <c r="B1076" s="78"/>
      <c r="C1076" s="78"/>
      <c r="D1076" s="84"/>
      <c r="E1076" s="78"/>
      <c r="F1076" s="78"/>
      <c r="G1076" s="85"/>
      <c r="H1076" s="78"/>
      <c r="I1076" s="78"/>
      <c r="J1076" s="78"/>
      <c r="K1076" s="78"/>
      <c r="L1076" s="78"/>
      <c r="M1076" s="78"/>
      <c r="N1076" s="78"/>
      <c r="O1076" s="78"/>
      <c r="P1076" s="78"/>
      <c r="Q1076" s="78"/>
      <c r="R1076" s="78"/>
      <c r="S1076" s="78"/>
      <c r="T1076" s="78"/>
      <c r="U1076" s="78"/>
      <c r="V1076" s="78"/>
      <c r="W1076" s="78"/>
      <c r="X1076" s="78"/>
      <c r="Y1076" s="78"/>
      <c r="Z1076" s="78"/>
    </row>
    <row r="1077">
      <c r="A1077" s="78"/>
      <c r="B1077" s="78"/>
      <c r="C1077" s="78"/>
      <c r="D1077" s="84"/>
      <c r="E1077" s="78"/>
      <c r="F1077" s="78"/>
      <c r="G1077" s="85"/>
      <c r="H1077" s="78"/>
      <c r="I1077" s="78"/>
      <c r="J1077" s="78"/>
      <c r="K1077" s="78"/>
      <c r="L1077" s="78"/>
      <c r="M1077" s="78"/>
      <c r="N1077" s="78"/>
      <c r="O1077" s="78"/>
      <c r="P1077" s="78"/>
      <c r="Q1077" s="78"/>
      <c r="R1077" s="78"/>
      <c r="S1077" s="78"/>
      <c r="T1077" s="78"/>
      <c r="U1077" s="78"/>
      <c r="V1077" s="78"/>
      <c r="W1077" s="78"/>
      <c r="X1077" s="78"/>
      <c r="Y1077" s="78"/>
      <c r="Z1077" s="78"/>
    </row>
    <row r="1078">
      <c r="A1078" s="78"/>
      <c r="B1078" s="78"/>
      <c r="C1078" s="78"/>
      <c r="D1078" s="84"/>
      <c r="E1078" s="78"/>
      <c r="F1078" s="78"/>
      <c r="G1078" s="85"/>
      <c r="H1078" s="78"/>
      <c r="I1078" s="78"/>
      <c r="J1078" s="78"/>
      <c r="K1078" s="78"/>
      <c r="L1078" s="78"/>
      <c r="M1078" s="78"/>
      <c r="N1078" s="78"/>
      <c r="O1078" s="78"/>
      <c r="P1078" s="78"/>
      <c r="Q1078" s="78"/>
      <c r="R1078" s="78"/>
      <c r="S1078" s="78"/>
      <c r="T1078" s="78"/>
      <c r="U1078" s="78"/>
      <c r="V1078" s="78"/>
      <c r="W1078" s="78"/>
      <c r="X1078" s="78"/>
      <c r="Y1078" s="78"/>
      <c r="Z1078" s="78"/>
    </row>
    <row r="1079">
      <c r="A1079" s="78"/>
      <c r="B1079" s="78"/>
      <c r="C1079" s="78"/>
      <c r="D1079" s="84"/>
      <c r="E1079" s="78"/>
      <c r="F1079" s="78"/>
      <c r="G1079" s="85"/>
      <c r="H1079" s="78"/>
      <c r="I1079" s="78"/>
      <c r="J1079" s="78"/>
      <c r="K1079" s="78"/>
      <c r="L1079" s="78"/>
      <c r="M1079" s="78"/>
      <c r="N1079" s="78"/>
      <c r="O1079" s="78"/>
      <c r="P1079" s="78"/>
      <c r="Q1079" s="78"/>
      <c r="R1079" s="78"/>
      <c r="S1079" s="78"/>
      <c r="T1079" s="78"/>
      <c r="U1079" s="78"/>
      <c r="V1079" s="78"/>
      <c r="W1079" s="78"/>
      <c r="X1079" s="78"/>
      <c r="Y1079" s="78"/>
      <c r="Z1079" s="78"/>
    </row>
    <row r="1080">
      <c r="A1080" s="78"/>
      <c r="B1080" s="78"/>
      <c r="C1080" s="78"/>
      <c r="D1080" s="84"/>
      <c r="E1080" s="78"/>
      <c r="F1080" s="78"/>
      <c r="G1080" s="85"/>
      <c r="H1080" s="78"/>
      <c r="I1080" s="78"/>
      <c r="J1080" s="78"/>
      <c r="K1080" s="78"/>
      <c r="L1080" s="78"/>
      <c r="M1080" s="78"/>
      <c r="N1080" s="78"/>
      <c r="O1080" s="78"/>
      <c r="P1080" s="78"/>
      <c r="Q1080" s="78"/>
      <c r="R1080" s="78"/>
      <c r="S1080" s="78"/>
      <c r="T1080" s="78"/>
      <c r="U1080" s="78"/>
      <c r="V1080" s="78"/>
      <c r="W1080" s="78"/>
      <c r="X1080" s="78"/>
      <c r="Y1080" s="78"/>
      <c r="Z1080" s="78"/>
    </row>
    <row r="1081">
      <c r="A1081" s="78"/>
      <c r="B1081" s="78"/>
      <c r="C1081" s="78"/>
      <c r="D1081" s="84"/>
      <c r="E1081" s="78"/>
      <c r="F1081" s="78"/>
      <c r="G1081" s="85"/>
      <c r="H1081" s="78"/>
      <c r="I1081" s="78"/>
      <c r="J1081" s="78"/>
      <c r="K1081" s="78"/>
      <c r="L1081" s="78"/>
      <c r="M1081" s="78"/>
      <c r="N1081" s="78"/>
      <c r="O1081" s="78"/>
      <c r="P1081" s="78"/>
      <c r="Q1081" s="78"/>
      <c r="R1081" s="78"/>
      <c r="S1081" s="78"/>
      <c r="T1081" s="78"/>
      <c r="U1081" s="78"/>
      <c r="V1081" s="78"/>
      <c r="W1081" s="78"/>
      <c r="X1081" s="78"/>
      <c r="Y1081" s="78"/>
      <c r="Z1081" s="78"/>
    </row>
    <row r="1082">
      <c r="A1082" s="78"/>
      <c r="B1082" s="78"/>
      <c r="C1082" s="78"/>
      <c r="D1082" s="84"/>
      <c r="E1082" s="78"/>
      <c r="F1082" s="78"/>
      <c r="G1082" s="85"/>
      <c r="H1082" s="78"/>
      <c r="I1082" s="78"/>
      <c r="J1082" s="78"/>
      <c r="K1082" s="78"/>
      <c r="L1082" s="78"/>
      <c r="M1082" s="78"/>
      <c r="N1082" s="78"/>
      <c r="O1082" s="78"/>
      <c r="P1082" s="78"/>
      <c r="Q1082" s="78"/>
      <c r="R1082" s="78"/>
      <c r="S1082" s="78"/>
      <c r="T1082" s="78"/>
      <c r="U1082" s="78"/>
      <c r="V1082" s="78"/>
      <c r="W1082" s="78"/>
      <c r="X1082" s="78"/>
      <c r="Y1082" s="78"/>
      <c r="Z1082" s="78"/>
    </row>
    <row r="1083">
      <c r="A1083" s="78"/>
      <c r="B1083" s="78"/>
      <c r="C1083" s="78"/>
      <c r="D1083" s="84"/>
      <c r="E1083" s="78"/>
      <c r="F1083" s="78"/>
      <c r="G1083" s="85"/>
      <c r="H1083" s="78"/>
      <c r="I1083" s="78"/>
      <c r="J1083" s="78"/>
      <c r="K1083" s="78"/>
      <c r="L1083" s="78"/>
      <c r="M1083" s="78"/>
      <c r="N1083" s="78"/>
      <c r="O1083" s="78"/>
      <c r="P1083" s="78"/>
      <c r="Q1083" s="78"/>
      <c r="R1083" s="78"/>
      <c r="S1083" s="78"/>
      <c r="T1083" s="78"/>
      <c r="U1083" s="78"/>
      <c r="V1083" s="78"/>
      <c r="W1083" s="78"/>
      <c r="X1083" s="78"/>
      <c r="Y1083" s="78"/>
      <c r="Z1083" s="78"/>
    </row>
    <row r="1084">
      <c r="A1084" s="78"/>
      <c r="B1084" s="78"/>
      <c r="C1084" s="78"/>
      <c r="D1084" s="84"/>
      <c r="E1084" s="78"/>
      <c r="F1084" s="78"/>
      <c r="G1084" s="85"/>
      <c r="H1084" s="78"/>
      <c r="I1084" s="78"/>
      <c r="J1084" s="78"/>
      <c r="K1084" s="78"/>
      <c r="L1084" s="78"/>
      <c r="M1084" s="78"/>
      <c r="N1084" s="78"/>
      <c r="O1084" s="78"/>
      <c r="P1084" s="78"/>
      <c r="Q1084" s="78"/>
      <c r="R1084" s="78"/>
      <c r="S1084" s="78"/>
      <c r="T1084" s="78"/>
      <c r="U1084" s="78"/>
      <c r="V1084" s="78"/>
      <c r="W1084" s="78"/>
      <c r="X1084" s="78"/>
      <c r="Y1084" s="78"/>
      <c r="Z1084" s="78"/>
    </row>
    <row r="1085">
      <c r="A1085" s="78"/>
      <c r="B1085" s="78"/>
      <c r="C1085" s="78"/>
      <c r="D1085" s="84"/>
      <c r="E1085" s="78"/>
      <c r="F1085" s="78"/>
      <c r="G1085" s="85"/>
      <c r="H1085" s="78"/>
      <c r="I1085" s="78"/>
      <c r="J1085" s="78"/>
      <c r="K1085" s="78"/>
      <c r="L1085" s="78"/>
      <c r="M1085" s="78"/>
      <c r="N1085" s="78"/>
      <c r="O1085" s="78"/>
      <c r="P1085" s="78"/>
      <c r="Q1085" s="78"/>
      <c r="R1085" s="78"/>
      <c r="S1085" s="78"/>
      <c r="T1085" s="78"/>
      <c r="U1085" s="78"/>
      <c r="V1085" s="78"/>
      <c r="W1085" s="78"/>
      <c r="X1085" s="78"/>
      <c r="Y1085" s="78"/>
      <c r="Z1085" s="78"/>
    </row>
    <row r="1086">
      <c r="A1086" s="78"/>
      <c r="B1086" s="78"/>
      <c r="C1086" s="78"/>
      <c r="D1086" s="84"/>
      <c r="E1086" s="78"/>
      <c r="F1086" s="78"/>
      <c r="G1086" s="85"/>
      <c r="H1086" s="78"/>
      <c r="I1086" s="78"/>
      <c r="J1086" s="78"/>
      <c r="K1086" s="78"/>
      <c r="L1086" s="78"/>
      <c r="M1086" s="78"/>
      <c r="N1086" s="78"/>
      <c r="O1086" s="78"/>
      <c r="P1086" s="78"/>
      <c r="Q1086" s="78"/>
      <c r="R1086" s="78"/>
      <c r="S1086" s="78"/>
      <c r="T1086" s="78"/>
      <c r="U1086" s="78"/>
      <c r="V1086" s="78"/>
      <c r="W1086" s="78"/>
      <c r="X1086" s="78"/>
      <c r="Y1086" s="78"/>
      <c r="Z1086" s="78"/>
    </row>
    <row r="1087">
      <c r="A1087" s="78"/>
      <c r="B1087" s="78"/>
      <c r="C1087" s="78"/>
      <c r="D1087" s="84"/>
      <c r="E1087" s="78"/>
      <c r="F1087" s="78"/>
      <c r="G1087" s="85"/>
      <c r="H1087" s="78"/>
      <c r="I1087" s="78"/>
      <c r="J1087" s="78"/>
      <c r="K1087" s="78"/>
      <c r="L1087" s="78"/>
      <c r="M1087" s="78"/>
      <c r="N1087" s="78"/>
      <c r="O1087" s="78"/>
      <c r="P1087" s="78"/>
      <c r="Q1087" s="78"/>
      <c r="R1087" s="78"/>
      <c r="S1087" s="78"/>
      <c r="T1087" s="78"/>
      <c r="U1087" s="78"/>
      <c r="V1087" s="78"/>
      <c r="W1087" s="78"/>
      <c r="X1087" s="78"/>
      <c r="Y1087" s="78"/>
      <c r="Z1087" s="78"/>
    </row>
    <row r="1088">
      <c r="A1088" s="78"/>
      <c r="B1088" s="78"/>
      <c r="C1088" s="78"/>
      <c r="D1088" s="84"/>
      <c r="E1088" s="78"/>
      <c r="F1088" s="78"/>
      <c r="G1088" s="85"/>
      <c r="H1088" s="78"/>
      <c r="I1088" s="78"/>
      <c r="J1088" s="78"/>
      <c r="K1088" s="78"/>
      <c r="L1088" s="78"/>
      <c r="M1088" s="78"/>
      <c r="N1088" s="78"/>
      <c r="O1088" s="78"/>
      <c r="P1088" s="78"/>
      <c r="Q1088" s="78"/>
      <c r="R1088" s="78"/>
      <c r="S1088" s="78"/>
      <c r="T1088" s="78"/>
      <c r="U1088" s="78"/>
      <c r="V1088" s="78"/>
      <c r="W1088" s="78"/>
      <c r="X1088" s="78"/>
      <c r="Y1088" s="78"/>
      <c r="Z1088" s="78"/>
    </row>
    <row r="1089">
      <c r="A1089" s="78"/>
      <c r="B1089" s="78"/>
      <c r="C1089" s="78"/>
      <c r="D1089" s="84"/>
      <c r="E1089" s="78"/>
      <c r="F1089" s="78"/>
      <c r="G1089" s="85"/>
      <c r="H1089" s="78"/>
      <c r="I1089" s="78"/>
      <c r="J1089" s="78"/>
      <c r="K1089" s="78"/>
      <c r="L1089" s="78"/>
      <c r="M1089" s="78"/>
      <c r="N1089" s="78"/>
      <c r="O1089" s="78"/>
      <c r="P1089" s="78"/>
      <c r="Q1089" s="78"/>
      <c r="R1089" s="78"/>
      <c r="S1089" s="78"/>
      <c r="T1089" s="78"/>
      <c r="U1089" s="78"/>
      <c r="V1089" s="78"/>
      <c r="W1089" s="78"/>
      <c r="X1089" s="78"/>
      <c r="Y1089" s="78"/>
      <c r="Z1089" s="78"/>
    </row>
    <row r="1090">
      <c r="A1090" s="78"/>
      <c r="B1090" s="78"/>
      <c r="C1090" s="78"/>
      <c r="D1090" s="84"/>
      <c r="E1090" s="78"/>
      <c r="F1090" s="78"/>
      <c r="G1090" s="85"/>
      <c r="H1090" s="78"/>
      <c r="I1090" s="78"/>
      <c r="J1090" s="78"/>
      <c r="K1090" s="78"/>
      <c r="L1090" s="78"/>
      <c r="M1090" s="78"/>
      <c r="N1090" s="78"/>
      <c r="O1090" s="78"/>
      <c r="P1090" s="78"/>
      <c r="Q1090" s="78"/>
      <c r="R1090" s="78"/>
      <c r="S1090" s="78"/>
      <c r="T1090" s="78"/>
      <c r="U1090" s="78"/>
      <c r="V1090" s="78"/>
      <c r="W1090" s="78"/>
      <c r="X1090" s="78"/>
      <c r="Y1090" s="78"/>
      <c r="Z1090" s="78"/>
    </row>
    <row r="1091">
      <c r="A1091" s="78"/>
      <c r="B1091" s="78"/>
      <c r="C1091" s="78"/>
      <c r="D1091" s="84"/>
      <c r="E1091" s="78"/>
      <c r="F1091" s="78"/>
      <c r="G1091" s="85"/>
      <c r="H1091" s="78"/>
      <c r="I1091" s="78"/>
      <c r="J1091" s="78"/>
      <c r="K1091" s="78"/>
      <c r="L1091" s="78"/>
      <c r="M1091" s="78"/>
      <c r="N1091" s="78"/>
      <c r="O1091" s="78"/>
      <c r="P1091" s="78"/>
      <c r="Q1091" s="78"/>
      <c r="R1091" s="78"/>
      <c r="S1091" s="78"/>
      <c r="T1091" s="78"/>
      <c r="U1091" s="78"/>
      <c r="V1091" s="78"/>
      <c r="W1091" s="78"/>
      <c r="X1091" s="78"/>
      <c r="Y1091" s="78"/>
      <c r="Z1091" s="78"/>
    </row>
    <row r="1092">
      <c r="A1092" s="78"/>
      <c r="B1092" s="78"/>
      <c r="C1092" s="78"/>
      <c r="D1092" s="84"/>
      <c r="E1092" s="78"/>
      <c r="F1092" s="78"/>
      <c r="G1092" s="85"/>
      <c r="H1092" s="78"/>
      <c r="I1092" s="78"/>
      <c r="J1092" s="78"/>
      <c r="K1092" s="78"/>
      <c r="L1092" s="78"/>
      <c r="M1092" s="78"/>
      <c r="N1092" s="78"/>
      <c r="O1092" s="78"/>
      <c r="P1092" s="78"/>
      <c r="Q1092" s="78"/>
      <c r="R1092" s="78"/>
      <c r="S1092" s="78"/>
      <c r="T1092" s="78"/>
      <c r="U1092" s="78"/>
      <c r="V1092" s="78"/>
      <c r="W1092" s="78"/>
      <c r="X1092" s="78"/>
      <c r="Y1092" s="78"/>
      <c r="Z1092" s="78"/>
    </row>
    <row r="1093">
      <c r="A1093" s="78"/>
      <c r="B1093" s="78"/>
      <c r="C1093" s="78"/>
      <c r="D1093" s="84"/>
      <c r="E1093" s="78"/>
      <c r="F1093" s="78"/>
      <c r="G1093" s="85"/>
      <c r="H1093" s="78"/>
      <c r="I1093" s="78"/>
      <c r="J1093" s="78"/>
      <c r="K1093" s="78"/>
      <c r="L1093" s="78"/>
      <c r="M1093" s="78"/>
      <c r="N1093" s="78"/>
      <c r="O1093" s="78"/>
      <c r="P1093" s="78"/>
      <c r="Q1093" s="78"/>
      <c r="R1093" s="78"/>
      <c r="S1093" s="78"/>
      <c r="T1093" s="78"/>
      <c r="U1093" s="78"/>
      <c r="V1093" s="78"/>
      <c r="W1093" s="78"/>
      <c r="X1093" s="78"/>
      <c r="Y1093" s="78"/>
      <c r="Z1093" s="78"/>
    </row>
    <row r="1094">
      <c r="A1094" s="78"/>
      <c r="B1094" s="78"/>
      <c r="C1094" s="78"/>
      <c r="D1094" s="84"/>
      <c r="E1094" s="78"/>
      <c r="F1094" s="78"/>
      <c r="G1094" s="85"/>
      <c r="H1094" s="78"/>
      <c r="I1094" s="78"/>
      <c r="J1094" s="78"/>
      <c r="K1094" s="78"/>
      <c r="L1094" s="78"/>
      <c r="M1094" s="78"/>
      <c r="N1094" s="78"/>
      <c r="O1094" s="78"/>
      <c r="P1094" s="78"/>
      <c r="Q1094" s="78"/>
      <c r="R1094" s="78"/>
      <c r="S1094" s="78"/>
      <c r="T1094" s="78"/>
      <c r="U1094" s="78"/>
      <c r="V1094" s="78"/>
      <c r="W1094" s="78"/>
      <c r="X1094" s="78"/>
      <c r="Y1094" s="78"/>
      <c r="Z1094" s="78"/>
    </row>
    <row r="1095">
      <c r="A1095" s="78"/>
      <c r="B1095" s="78"/>
      <c r="C1095" s="78"/>
      <c r="D1095" s="84"/>
      <c r="E1095" s="78"/>
      <c r="F1095" s="78"/>
      <c r="G1095" s="85"/>
      <c r="H1095" s="78"/>
      <c r="I1095" s="78"/>
      <c r="J1095" s="78"/>
      <c r="K1095" s="78"/>
      <c r="L1095" s="78"/>
      <c r="M1095" s="78"/>
      <c r="N1095" s="78"/>
      <c r="O1095" s="78"/>
      <c r="P1095" s="78"/>
      <c r="Q1095" s="78"/>
      <c r="R1095" s="78"/>
      <c r="S1095" s="78"/>
      <c r="T1095" s="78"/>
      <c r="U1095" s="78"/>
      <c r="V1095" s="78"/>
      <c r="W1095" s="78"/>
      <c r="X1095" s="78"/>
      <c r="Y1095" s="78"/>
      <c r="Z1095" s="78"/>
    </row>
    <row r="1096">
      <c r="A1096" s="78"/>
      <c r="B1096" s="78"/>
      <c r="C1096" s="78"/>
      <c r="D1096" s="84"/>
      <c r="E1096" s="78"/>
      <c r="F1096" s="78"/>
      <c r="G1096" s="85"/>
      <c r="H1096" s="78"/>
      <c r="I1096" s="78"/>
      <c r="J1096" s="78"/>
      <c r="K1096" s="78"/>
      <c r="L1096" s="78"/>
      <c r="M1096" s="78"/>
      <c r="N1096" s="78"/>
      <c r="O1096" s="78"/>
      <c r="P1096" s="78"/>
      <c r="Q1096" s="78"/>
      <c r="R1096" s="78"/>
      <c r="S1096" s="78"/>
      <c r="T1096" s="78"/>
      <c r="U1096" s="78"/>
      <c r="V1096" s="78"/>
      <c r="W1096" s="78"/>
      <c r="X1096" s="78"/>
      <c r="Y1096" s="78"/>
      <c r="Z1096" s="78"/>
    </row>
    <row r="1097">
      <c r="A1097" s="78"/>
      <c r="B1097" s="78"/>
      <c r="C1097" s="78"/>
      <c r="D1097" s="84"/>
      <c r="E1097" s="78"/>
      <c r="F1097" s="78"/>
      <c r="G1097" s="85"/>
      <c r="H1097" s="78"/>
      <c r="I1097" s="78"/>
      <c r="J1097" s="78"/>
      <c r="K1097" s="78"/>
      <c r="L1097" s="78"/>
      <c r="M1097" s="78"/>
      <c r="N1097" s="78"/>
      <c r="O1097" s="78"/>
      <c r="P1097" s="78"/>
      <c r="Q1097" s="78"/>
      <c r="R1097" s="78"/>
      <c r="S1097" s="78"/>
      <c r="T1097" s="78"/>
      <c r="U1097" s="78"/>
      <c r="V1097" s="78"/>
      <c r="W1097" s="78"/>
      <c r="X1097" s="78"/>
      <c r="Y1097" s="78"/>
      <c r="Z1097" s="78"/>
    </row>
    <row r="1098">
      <c r="A1098" s="78"/>
      <c r="B1098" s="78"/>
      <c r="C1098" s="78"/>
      <c r="D1098" s="84"/>
      <c r="E1098" s="78"/>
      <c r="F1098" s="78"/>
      <c r="G1098" s="85"/>
      <c r="H1098" s="78"/>
      <c r="I1098" s="78"/>
      <c r="J1098" s="78"/>
      <c r="K1098" s="78"/>
      <c r="L1098" s="78"/>
      <c r="M1098" s="78"/>
      <c r="N1098" s="78"/>
      <c r="O1098" s="78"/>
      <c r="P1098" s="78"/>
      <c r="Q1098" s="78"/>
      <c r="R1098" s="78"/>
      <c r="S1098" s="78"/>
      <c r="T1098" s="78"/>
      <c r="U1098" s="78"/>
      <c r="V1098" s="78"/>
      <c r="W1098" s="78"/>
      <c r="X1098" s="78"/>
      <c r="Y1098" s="78"/>
      <c r="Z1098" s="78"/>
    </row>
    <row r="1099">
      <c r="A1099" s="78"/>
      <c r="B1099" s="78"/>
      <c r="C1099" s="78"/>
      <c r="D1099" s="84"/>
      <c r="E1099" s="78"/>
      <c r="F1099" s="78"/>
      <c r="G1099" s="85"/>
      <c r="H1099" s="78"/>
      <c r="I1099" s="78"/>
      <c r="J1099" s="78"/>
      <c r="K1099" s="78"/>
      <c r="L1099" s="78"/>
      <c r="M1099" s="78"/>
      <c r="N1099" s="78"/>
      <c r="O1099" s="78"/>
      <c r="P1099" s="78"/>
      <c r="Q1099" s="78"/>
      <c r="R1099" s="78"/>
      <c r="S1099" s="78"/>
      <c r="T1099" s="78"/>
      <c r="U1099" s="78"/>
      <c r="V1099" s="78"/>
      <c r="W1099" s="78"/>
      <c r="X1099" s="78"/>
      <c r="Y1099" s="78"/>
      <c r="Z1099" s="78"/>
    </row>
    <row r="1100">
      <c r="A1100" s="78"/>
      <c r="B1100" s="78"/>
      <c r="C1100" s="78"/>
      <c r="D1100" s="84"/>
      <c r="E1100" s="78"/>
      <c r="F1100" s="78"/>
      <c r="G1100" s="85"/>
      <c r="H1100" s="78"/>
      <c r="I1100" s="78"/>
      <c r="J1100" s="78"/>
      <c r="K1100" s="78"/>
      <c r="L1100" s="78"/>
      <c r="M1100" s="78"/>
      <c r="N1100" s="78"/>
      <c r="O1100" s="78"/>
      <c r="P1100" s="78"/>
      <c r="Q1100" s="78"/>
      <c r="R1100" s="78"/>
      <c r="S1100" s="78"/>
      <c r="T1100" s="78"/>
      <c r="U1100" s="78"/>
      <c r="V1100" s="78"/>
      <c r="W1100" s="78"/>
      <c r="X1100" s="78"/>
      <c r="Y1100" s="78"/>
      <c r="Z1100" s="78"/>
    </row>
    <row r="1101">
      <c r="A1101" s="78"/>
      <c r="B1101" s="78"/>
      <c r="C1101" s="78"/>
      <c r="D1101" s="84"/>
      <c r="E1101" s="78"/>
      <c r="F1101" s="78"/>
      <c r="G1101" s="85"/>
      <c r="H1101" s="78"/>
      <c r="I1101" s="78"/>
      <c r="J1101" s="78"/>
      <c r="K1101" s="78"/>
      <c r="L1101" s="78"/>
      <c r="M1101" s="78"/>
      <c r="N1101" s="78"/>
      <c r="O1101" s="78"/>
      <c r="P1101" s="78"/>
      <c r="Q1101" s="78"/>
      <c r="R1101" s="78"/>
      <c r="S1101" s="78"/>
      <c r="T1101" s="78"/>
      <c r="U1101" s="78"/>
      <c r="V1101" s="78"/>
      <c r="W1101" s="78"/>
      <c r="X1101" s="78"/>
      <c r="Y1101" s="78"/>
      <c r="Z1101" s="78"/>
    </row>
    <row r="1102">
      <c r="A1102" s="78"/>
      <c r="B1102" s="78"/>
      <c r="C1102" s="78"/>
      <c r="D1102" s="84"/>
      <c r="E1102" s="78"/>
      <c r="F1102" s="78"/>
      <c r="G1102" s="85"/>
      <c r="H1102" s="78"/>
      <c r="I1102" s="78"/>
      <c r="J1102" s="78"/>
      <c r="K1102" s="78"/>
      <c r="L1102" s="78"/>
      <c r="M1102" s="78"/>
      <c r="N1102" s="78"/>
      <c r="O1102" s="78"/>
      <c r="P1102" s="78"/>
      <c r="Q1102" s="78"/>
      <c r="R1102" s="78"/>
      <c r="S1102" s="78"/>
      <c r="T1102" s="78"/>
      <c r="U1102" s="78"/>
      <c r="V1102" s="78"/>
      <c r="W1102" s="78"/>
      <c r="X1102" s="78"/>
      <c r="Y1102" s="78"/>
      <c r="Z1102" s="78"/>
    </row>
    <row r="1103">
      <c r="A1103" s="78"/>
      <c r="B1103" s="78"/>
      <c r="C1103" s="78"/>
      <c r="D1103" s="84"/>
      <c r="E1103" s="78"/>
      <c r="F1103" s="78"/>
      <c r="G1103" s="85"/>
      <c r="H1103" s="78"/>
      <c r="I1103" s="78"/>
      <c r="J1103" s="78"/>
      <c r="K1103" s="78"/>
      <c r="L1103" s="78"/>
      <c r="M1103" s="78"/>
      <c r="N1103" s="78"/>
      <c r="O1103" s="78"/>
      <c r="P1103" s="78"/>
      <c r="Q1103" s="78"/>
      <c r="R1103" s="78"/>
      <c r="S1103" s="78"/>
      <c r="T1103" s="78"/>
      <c r="U1103" s="78"/>
      <c r="V1103" s="78"/>
      <c r="W1103" s="78"/>
      <c r="X1103" s="78"/>
      <c r="Y1103" s="78"/>
      <c r="Z1103" s="78"/>
    </row>
    <row r="1104">
      <c r="A1104" s="78"/>
      <c r="B1104" s="78"/>
      <c r="C1104" s="78"/>
      <c r="D1104" s="84"/>
      <c r="E1104" s="78"/>
      <c r="F1104" s="78"/>
      <c r="G1104" s="85"/>
      <c r="H1104" s="78"/>
      <c r="I1104" s="78"/>
      <c r="J1104" s="78"/>
      <c r="K1104" s="78"/>
      <c r="L1104" s="78"/>
      <c r="M1104" s="78"/>
      <c r="N1104" s="78"/>
      <c r="O1104" s="78"/>
      <c r="P1104" s="78"/>
      <c r="Q1104" s="78"/>
      <c r="R1104" s="78"/>
      <c r="S1104" s="78"/>
      <c r="T1104" s="78"/>
      <c r="U1104" s="78"/>
      <c r="V1104" s="78"/>
      <c r="W1104" s="78"/>
      <c r="X1104" s="78"/>
      <c r="Y1104" s="78"/>
      <c r="Z1104" s="78"/>
    </row>
    <row r="1105">
      <c r="A1105" s="78"/>
      <c r="B1105" s="78"/>
      <c r="C1105" s="78"/>
      <c r="D1105" s="84"/>
      <c r="E1105" s="78"/>
      <c r="F1105" s="78"/>
      <c r="G1105" s="85"/>
      <c r="H1105" s="78"/>
      <c r="I1105" s="78"/>
      <c r="J1105" s="78"/>
      <c r="K1105" s="78"/>
      <c r="L1105" s="78"/>
      <c r="M1105" s="78"/>
      <c r="N1105" s="78"/>
      <c r="O1105" s="78"/>
      <c r="P1105" s="78"/>
      <c r="Q1105" s="78"/>
      <c r="R1105" s="78"/>
      <c r="S1105" s="78"/>
      <c r="T1105" s="78"/>
      <c r="U1105" s="78"/>
      <c r="V1105" s="78"/>
      <c r="W1105" s="78"/>
      <c r="X1105" s="78"/>
      <c r="Y1105" s="78"/>
      <c r="Z1105" s="78"/>
    </row>
    <row r="1106">
      <c r="A1106" s="78"/>
      <c r="B1106" s="78"/>
      <c r="C1106" s="78"/>
      <c r="D1106" s="84"/>
      <c r="E1106" s="78"/>
      <c r="F1106" s="78"/>
      <c r="G1106" s="85"/>
      <c r="H1106" s="78"/>
      <c r="I1106" s="78"/>
      <c r="J1106" s="78"/>
      <c r="K1106" s="78"/>
      <c r="L1106" s="78"/>
      <c r="M1106" s="78"/>
      <c r="N1106" s="78"/>
      <c r="O1106" s="78"/>
      <c r="P1106" s="78"/>
      <c r="Q1106" s="78"/>
      <c r="R1106" s="78"/>
      <c r="S1106" s="78"/>
      <c r="T1106" s="78"/>
      <c r="U1106" s="78"/>
      <c r="V1106" s="78"/>
      <c r="W1106" s="78"/>
      <c r="X1106" s="78"/>
      <c r="Y1106" s="78"/>
      <c r="Z1106" s="78"/>
    </row>
    <row r="1107">
      <c r="A1107" s="78"/>
      <c r="B1107" s="78"/>
      <c r="C1107" s="78"/>
      <c r="D1107" s="84"/>
      <c r="E1107" s="78"/>
      <c r="F1107" s="78"/>
      <c r="G1107" s="85"/>
      <c r="H1107" s="78"/>
      <c r="I1107" s="78"/>
      <c r="J1107" s="78"/>
      <c r="K1107" s="78"/>
      <c r="L1107" s="78"/>
      <c r="M1107" s="78"/>
      <c r="N1107" s="78"/>
      <c r="O1107" s="78"/>
      <c r="P1107" s="78"/>
      <c r="Q1107" s="78"/>
      <c r="R1107" s="78"/>
      <c r="S1107" s="78"/>
      <c r="T1107" s="78"/>
      <c r="U1107" s="78"/>
      <c r="V1107" s="78"/>
      <c r="W1107" s="78"/>
      <c r="X1107" s="78"/>
      <c r="Y1107" s="78"/>
      <c r="Z1107" s="78"/>
    </row>
    <row r="1108">
      <c r="A1108" s="78"/>
      <c r="B1108" s="78"/>
      <c r="C1108" s="78"/>
      <c r="D1108" s="84"/>
      <c r="E1108" s="78"/>
      <c r="F1108" s="78"/>
      <c r="G1108" s="85"/>
      <c r="H1108" s="78"/>
      <c r="I1108" s="78"/>
      <c r="J1108" s="78"/>
      <c r="K1108" s="78"/>
      <c r="L1108" s="78"/>
      <c r="M1108" s="78"/>
      <c r="N1108" s="78"/>
      <c r="O1108" s="78"/>
      <c r="P1108" s="78"/>
      <c r="Q1108" s="78"/>
      <c r="R1108" s="78"/>
      <c r="S1108" s="78"/>
      <c r="T1108" s="78"/>
      <c r="U1108" s="78"/>
      <c r="V1108" s="78"/>
      <c r="W1108" s="78"/>
      <c r="X1108" s="78"/>
      <c r="Y1108" s="78"/>
      <c r="Z1108" s="78"/>
    </row>
    <row r="1109">
      <c r="A1109" s="78"/>
      <c r="B1109" s="78"/>
      <c r="C1109" s="78"/>
      <c r="D1109" s="84"/>
      <c r="E1109" s="78"/>
      <c r="F1109" s="78"/>
      <c r="G1109" s="85"/>
      <c r="H1109" s="78"/>
      <c r="I1109" s="78"/>
      <c r="J1109" s="78"/>
      <c r="K1109" s="78"/>
      <c r="L1109" s="78"/>
      <c r="M1109" s="78"/>
      <c r="N1109" s="78"/>
      <c r="O1109" s="78"/>
      <c r="P1109" s="78"/>
      <c r="Q1109" s="78"/>
      <c r="R1109" s="78"/>
      <c r="S1109" s="78"/>
      <c r="T1109" s="78"/>
      <c r="U1109" s="78"/>
      <c r="V1109" s="78"/>
      <c r="W1109" s="78"/>
      <c r="X1109" s="78"/>
      <c r="Y1109" s="78"/>
      <c r="Z1109" s="78"/>
    </row>
    <row r="1110">
      <c r="A1110" s="78"/>
      <c r="B1110" s="78"/>
      <c r="C1110" s="78"/>
      <c r="D1110" s="84"/>
      <c r="E1110" s="78"/>
      <c r="F1110" s="78"/>
      <c r="G1110" s="85"/>
      <c r="H1110" s="78"/>
      <c r="I1110" s="78"/>
      <c r="J1110" s="78"/>
      <c r="K1110" s="78"/>
      <c r="L1110" s="78"/>
      <c r="M1110" s="78"/>
      <c r="N1110" s="78"/>
      <c r="O1110" s="78"/>
      <c r="P1110" s="78"/>
      <c r="Q1110" s="78"/>
      <c r="R1110" s="78"/>
      <c r="S1110" s="78"/>
      <c r="T1110" s="78"/>
      <c r="U1110" s="78"/>
      <c r="V1110" s="78"/>
      <c r="W1110" s="78"/>
      <c r="X1110" s="78"/>
      <c r="Y1110" s="78"/>
      <c r="Z1110" s="78"/>
    </row>
    <row r="1111">
      <c r="A1111" s="78"/>
      <c r="B1111" s="78"/>
      <c r="C1111" s="78"/>
      <c r="D1111" s="84"/>
      <c r="E1111" s="78"/>
      <c r="F1111" s="78"/>
      <c r="G1111" s="85"/>
      <c r="H1111" s="78"/>
      <c r="I1111" s="78"/>
      <c r="J1111" s="78"/>
      <c r="K1111" s="78"/>
      <c r="L1111" s="78"/>
      <c r="M1111" s="78"/>
      <c r="N1111" s="78"/>
      <c r="O1111" s="78"/>
      <c r="P1111" s="78"/>
      <c r="Q1111" s="78"/>
      <c r="R1111" s="78"/>
      <c r="S1111" s="78"/>
      <c r="T1111" s="78"/>
      <c r="U1111" s="78"/>
      <c r="V1111" s="78"/>
      <c r="W1111" s="78"/>
      <c r="X1111" s="78"/>
      <c r="Y1111" s="78"/>
      <c r="Z1111" s="78"/>
    </row>
    <row r="1112">
      <c r="A1112" s="78"/>
      <c r="B1112" s="78"/>
      <c r="C1112" s="78"/>
      <c r="D1112" s="84"/>
      <c r="E1112" s="78"/>
      <c r="F1112" s="78"/>
      <c r="G1112" s="85"/>
      <c r="H1112" s="78"/>
      <c r="I1112" s="78"/>
      <c r="J1112" s="78"/>
      <c r="K1112" s="78"/>
      <c r="L1112" s="78"/>
      <c r="M1112" s="78"/>
      <c r="N1112" s="78"/>
      <c r="O1112" s="78"/>
      <c r="P1112" s="78"/>
      <c r="Q1112" s="78"/>
      <c r="R1112" s="78"/>
      <c r="S1112" s="78"/>
      <c r="T1112" s="78"/>
      <c r="U1112" s="78"/>
      <c r="V1112" s="78"/>
      <c r="W1112" s="78"/>
      <c r="X1112" s="78"/>
      <c r="Y1112" s="78"/>
      <c r="Z1112" s="78"/>
    </row>
    <row r="1113">
      <c r="A1113" s="78"/>
      <c r="B1113" s="78"/>
      <c r="C1113" s="78"/>
      <c r="D1113" s="84"/>
      <c r="E1113" s="78"/>
      <c r="F1113" s="78"/>
      <c r="G1113" s="85"/>
      <c r="H1113" s="78"/>
      <c r="I1113" s="78"/>
      <c r="J1113" s="78"/>
      <c r="K1113" s="78"/>
      <c r="L1113" s="78"/>
      <c r="M1113" s="78"/>
      <c r="N1113" s="78"/>
      <c r="O1113" s="78"/>
      <c r="P1113" s="78"/>
      <c r="Q1113" s="78"/>
      <c r="R1113" s="78"/>
      <c r="S1113" s="78"/>
      <c r="T1113" s="78"/>
      <c r="U1113" s="78"/>
      <c r="V1113" s="78"/>
      <c r="W1113" s="78"/>
      <c r="X1113" s="78"/>
      <c r="Y1113" s="78"/>
      <c r="Z1113" s="78"/>
    </row>
    <row r="1114">
      <c r="A1114" s="78"/>
      <c r="B1114" s="78"/>
      <c r="C1114" s="78"/>
      <c r="D1114" s="84"/>
      <c r="E1114" s="78"/>
      <c r="F1114" s="78"/>
      <c r="G1114" s="85"/>
      <c r="H1114" s="78"/>
      <c r="I1114" s="78"/>
      <c r="J1114" s="78"/>
      <c r="K1114" s="78"/>
      <c r="L1114" s="78"/>
      <c r="M1114" s="78"/>
      <c r="N1114" s="78"/>
      <c r="O1114" s="78"/>
      <c r="P1114" s="78"/>
      <c r="Q1114" s="78"/>
      <c r="R1114" s="78"/>
      <c r="S1114" s="78"/>
      <c r="T1114" s="78"/>
      <c r="U1114" s="78"/>
      <c r="V1114" s="78"/>
      <c r="W1114" s="78"/>
      <c r="X1114" s="78"/>
      <c r="Y1114" s="78"/>
      <c r="Z1114" s="78"/>
    </row>
    <row r="1115">
      <c r="A1115" s="78"/>
      <c r="B1115" s="78"/>
      <c r="C1115" s="78"/>
      <c r="D1115" s="84"/>
      <c r="E1115" s="78"/>
      <c r="F1115" s="78"/>
      <c r="G1115" s="85"/>
      <c r="H1115" s="78"/>
      <c r="I1115" s="78"/>
      <c r="J1115" s="78"/>
      <c r="K1115" s="78"/>
      <c r="L1115" s="78"/>
      <c r="M1115" s="78"/>
      <c r="N1115" s="78"/>
      <c r="O1115" s="78"/>
      <c r="P1115" s="78"/>
      <c r="Q1115" s="78"/>
      <c r="R1115" s="78"/>
      <c r="S1115" s="78"/>
      <c r="T1115" s="78"/>
      <c r="U1115" s="78"/>
      <c r="V1115" s="78"/>
      <c r="W1115" s="78"/>
      <c r="X1115" s="78"/>
      <c r="Y1115" s="78"/>
      <c r="Z1115" s="78"/>
    </row>
    <row r="1116">
      <c r="A1116" s="78"/>
      <c r="B1116" s="78"/>
      <c r="C1116" s="78"/>
      <c r="D1116" s="84"/>
      <c r="E1116" s="78"/>
      <c r="F1116" s="78"/>
      <c r="G1116" s="85"/>
      <c r="H1116" s="78"/>
      <c r="I1116" s="78"/>
      <c r="J1116" s="78"/>
      <c r="K1116" s="78"/>
      <c r="L1116" s="78"/>
      <c r="M1116" s="78"/>
      <c r="N1116" s="78"/>
      <c r="O1116" s="78"/>
      <c r="P1116" s="78"/>
      <c r="Q1116" s="78"/>
      <c r="R1116" s="78"/>
      <c r="S1116" s="78"/>
      <c r="T1116" s="78"/>
      <c r="U1116" s="78"/>
      <c r="V1116" s="78"/>
      <c r="W1116" s="78"/>
      <c r="X1116" s="78"/>
      <c r="Y1116" s="78"/>
      <c r="Z1116" s="78"/>
    </row>
    <row r="1117">
      <c r="A1117" s="78"/>
      <c r="B1117" s="78"/>
      <c r="C1117" s="78"/>
      <c r="D1117" s="84"/>
      <c r="E1117" s="78"/>
      <c r="F1117" s="78"/>
      <c r="G1117" s="85"/>
      <c r="H1117" s="78"/>
      <c r="I1117" s="78"/>
      <c r="J1117" s="78"/>
      <c r="K1117" s="78"/>
      <c r="L1117" s="78"/>
      <c r="M1117" s="78"/>
      <c r="N1117" s="78"/>
      <c r="O1117" s="78"/>
      <c r="P1117" s="78"/>
      <c r="Q1117" s="78"/>
      <c r="R1117" s="78"/>
      <c r="S1117" s="78"/>
      <c r="T1117" s="78"/>
      <c r="U1117" s="78"/>
      <c r="V1117" s="78"/>
      <c r="W1117" s="78"/>
      <c r="X1117" s="78"/>
      <c r="Y1117" s="78"/>
      <c r="Z1117" s="78"/>
    </row>
    <row r="1118">
      <c r="A1118" s="78"/>
      <c r="B1118" s="78"/>
      <c r="C1118" s="78"/>
      <c r="D1118" s="84"/>
      <c r="E1118" s="78"/>
      <c r="F1118" s="78"/>
      <c r="G1118" s="85"/>
      <c r="H1118" s="78"/>
      <c r="I1118" s="78"/>
      <c r="J1118" s="78"/>
      <c r="K1118" s="78"/>
      <c r="L1118" s="78"/>
      <c r="M1118" s="78"/>
      <c r="N1118" s="78"/>
      <c r="O1118" s="78"/>
      <c r="P1118" s="78"/>
      <c r="Q1118" s="78"/>
      <c r="R1118" s="78"/>
      <c r="S1118" s="78"/>
      <c r="T1118" s="78"/>
      <c r="U1118" s="78"/>
      <c r="V1118" s="78"/>
      <c r="W1118" s="78"/>
      <c r="X1118" s="78"/>
      <c r="Y1118" s="78"/>
      <c r="Z1118" s="78"/>
    </row>
    <row r="1119">
      <c r="A1119" s="78"/>
      <c r="B1119" s="78"/>
      <c r="C1119" s="78"/>
      <c r="D1119" s="84"/>
      <c r="E1119" s="78"/>
      <c r="F1119" s="78"/>
      <c r="G1119" s="85"/>
      <c r="H1119" s="78"/>
      <c r="I1119" s="78"/>
      <c r="J1119" s="78"/>
      <c r="K1119" s="78"/>
      <c r="L1119" s="78"/>
      <c r="M1119" s="78"/>
      <c r="N1119" s="78"/>
      <c r="O1119" s="78"/>
      <c r="P1119" s="78"/>
      <c r="Q1119" s="78"/>
      <c r="R1119" s="78"/>
      <c r="S1119" s="78"/>
      <c r="T1119" s="78"/>
      <c r="U1119" s="78"/>
      <c r="V1119" s="78"/>
      <c r="W1119" s="78"/>
      <c r="X1119" s="78"/>
      <c r="Y1119" s="78"/>
      <c r="Z1119" s="78"/>
    </row>
    <row r="1120">
      <c r="A1120" s="78"/>
      <c r="B1120" s="78"/>
      <c r="C1120" s="78"/>
      <c r="D1120" s="84"/>
      <c r="E1120" s="78"/>
      <c r="F1120" s="78"/>
      <c r="G1120" s="85"/>
      <c r="H1120" s="78"/>
      <c r="I1120" s="78"/>
      <c r="J1120" s="78"/>
      <c r="K1120" s="78"/>
      <c r="L1120" s="78"/>
      <c r="M1120" s="78"/>
      <c r="N1120" s="78"/>
      <c r="O1120" s="78"/>
      <c r="P1120" s="78"/>
      <c r="Q1120" s="78"/>
      <c r="R1120" s="78"/>
      <c r="S1120" s="78"/>
      <c r="T1120" s="78"/>
      <c r="U1120" s="78"/>
      <c r="V1120" s="78"/>
      <c r="W1120" s="78"/>
      <c r="X1120" s="78"/>
      <c r="Y1120" s="78"/>
      <c r="Z1120" s="78"/>
    </row>
    <row r="1121">
      <c r="A1121" s="78"/>
      <c r="B1121" s="78"/>
      <c r="C1121" s="78"/>
      <c r="D1121" s="84"/>
      <c r="E1121" s="78"/>
      <c r="F1121" s="78"/>
      <c r="G1121" s="85"/>
      <c r="H1121" s="78"/>
      <c r="I1121" s="78"/>
      <c r="J1121" s="78"/>
      <c r="K1121" s="78"/>
      <c r="L1121" s="78"/>
      <c r="M1121" s="78"/>
      <c r="N1121" s="78"/>
      <c r="O1121" s="78"/>
      <c r="P1121" s="78"/>
      <c r="Q1121" s="78"/>
      <c r="R1121" s="78"/>
      <c r="S1121" s="78"/>
      <c r="T1121" s="78"/>
      <c r="U1121" s="78"/>
      <c r="V1121" s="78"/>
      <c r="W1121" s="78"/>
      <c r="X1121" s="78"/>
      <c r="Y1121" s="78"/>
      <c r="Z1121" s="78"/>
    </row>
    <row r="1122">
      <c r="A1122" s="78"/>
      <c r="B1122" s="78"/>
      <c r="C1122" s="78"/>
      <c r="D1122" s="84"/>
      <c r="E1122" s="78"/>
      <c r="F1122" s="78"/>
      <c r="G1122" s="85"/>
      <c r="H1122" s="78"/>
      <c r="I1122" s="78"/>
      <c r="J1122" s="78"/>
      <c r="K1122" s="78"/>
      <c r="L1122" s="78"/>
      <c r="M1122" s="78"/>
      <c r="N1122" s="78"/>
      <c r="O1122" s="78"/>
      <c r="P1122" s="78"/>
      <c r="Q1122" s="78"/>
      <c r="R1122" s="78"/>
      <c r="S1122" s="78"/>
      <c r="T1122" s="78"/>
      <c r="U1122" s="78"/>
      <c r="V1122" s="78"/>
      <c r="W1122" s="78"/>
      <c r="X1122" s="78"/>
      <c r="Y1122" s="78"/>
      <c r="Z1122" s="78"/>
    </row>
    <row r="1123">
      <c r="A1123" s="78"/>
      <c r="B1123" s="78"/>
      <c r="C1123" s="78"/>
      <c r="D1123" s="84"/>
      <c r="E1123" s="78"/>
      <c r="F1123" s="78"/>
      <c r="G1123" s="85"/>
      <c r="H1123" s="78"/>
      <c r="I1123" s="78"/>
      <c r="J1123" s="78"/>
      <c r="K1123" s="78"/>
      <c r="L1123" s="78"/>
      <c r="M1123" s="78"/>
      <c r="N1123" s="78"/>
      <c r="O1123" s="78"/>
      <c r="P1123" s="78"/>
      <c r="Q1123" s="78"/>
      <c r="R1123" s="78"/>
      <c r="S1123" s="78"/>
      <c r="T1123" s="78"/>
      <c r="U1123" s="78"/>
      <c r="V1123" s="78"/>
      <c r="W1123" s="78"/>
      <c r="X1123" s="78"/>
      <c r="Y1123" s="78"/>
      <c r="Z1123" s="78"/>
    </row>
    <row r="1124">
      <c r="A1124" s="78"/>
      <c r="B1124" s="78"/>
      <c r="C1124" s="78"/>
      <c r="D1124" s="84"/>
      <c r="E1124" s="78"/>
      <c r="F1124" s="78"/>
      <c r="G1124" s="85"/>
      <c r="H1124" s="78"/>
      <c r="I1124" s="78"/>
      <c r="J1124" s="78"/>
      <c r="K1124" s="78"/>
      <c r="L1124" s="78"/>
      <c r="M1124" s="78"/>
      <c r="N1124" s="78"/>
      <c r="O1124" s="78"/>
      <c r="P1124" s="78"/>
      <c r="Q1124" s="78"/>
      <c r="R1124" s="78"/>
      <c r="S1124" s="78"/>
      <c r="T1124" s="78"/>
      <c r="U1124" s="78"/>
      <c r="V1124" s="78"/>
      <c r="W1124" s="78"/>
      <c r="X1124" s="78"/>
      <c r="Y1124" s="78"/>
      <c r="Z1124" s="78"/>
    </row>
    <row r="1125">
      <c r="A1125" s="78"/>
      <c r="B1125" s="78"/>
      <c r="C1125" s="78"/>
      <c r="D1125" s="84"/>
      <c r="E1125" s="78"/>
      <c r="F1125" s="78"/>
      <c r="G1125" s="85"/>
      <c r="H1125" s="78"/>
      <c r="I1125" s="78"/>
      <c r="J1125" s="78"/>
      <c r="K1125" s="78"/>
      <c r="L1125" s="78"/>
      <c r="M1125" s="78"/>
      <c r="N1125" s="78"/>
      <c r="O1125" s="78"/>
      <c r="P1125" s="78"/>
      <c r="Q1125" s="78"/>
      <c r="R1125" s="78"/>
      <c r="S1125" s="78"/>
      <c r="T1125" s="78"/>
      <c r="U1125" s="78"/>
      <c r="V1125" s="78"/>
      <c r="W1125" s="78"/>
      <c r="X1125" s="78"/>
      <c r="Y1125" s="78"/>
      <c r="Z1125" s="78"/>
    </row>
    <row r="1126">
      <c r="A1126" s="78"/>
      <c r="B1126" s="78"/>
      <c r="C1126" s="78"/>
      <c r="D1126" s="84"/>
      <c r="E1126" s="78"/>
      <c r="F1126" s="78"/>
      <c r="G1126" s="85"/>
      <c r="H1126" s="78"/>
      <c r="I1126" s="78"/>
      <c r="J1126" s="78"/>
      <c r="K1126" s="78"/>
      <c r="L1126" s="78"/>
      <c r="M1126" s="78"/>
      <c r="N1126" s="78"/>
      <c r="O1126" s="78"/>
      <c r="P1126" s="78"/>
      <c r="Q1126" s="78"/>
      <c r="R1126" s="78"/>
      <c r="S1126" s="78"/>
      <c r="T1126" s="78"/>
      <c r="U1126" s="78"/>
      <c r="V1126" s="78"/>
      <c r="W1126" s="78"/>
      <c r="X1126" s="78"/>
      <c r="Y1126" s="78"/>
      <c r="Z1126" s="78"/>
    </row>
    <row r="1127">
      <c r="A1127" s="78"/>
      <c r="B1127" s="78"/>
      <c r="C1127" s="78"/>
      <c r="D1127" s="84"/>
      <c r="E1127" s="78"/>
      <c r="F1127" s="78"/>
      <c r="G1127" s="85"/>
      <c r="H1127" s="78"/>
      <c r="I1127" s="78"/>
      <c r="J1127" s="78"/>
      <c r="K1127" s="78"/>
      <c r="L1127" s="78"/>
      <c r="M1127" s="78"/>
      <c r="N1127" s="78"/>
      <c r="O1127" s="78"/>
      <c r="P1127" s="78"/>
      <c r="Q1127" s="78"/>
      <c r="R1127" s="78"/>
      <c r="S1127" s="78"/>
      <c r="T1127" s="78"/>
      <c r="U1127" s="78"/>
      <c r="V1127" s="78"/>
      <c r="W1127" s="78"/>
      <c r="X1127" s="78"/>
      <c r="Y1127" s="78"/>
      <c r="Z1127" s="78"/>
    </row>
    <row r="1128">
      <c r="A1128" s="78"/>
      <c r="B1128" s="78"/>
      <c r="C1128" s="78"/>
      <c r="D1128" s="84"/>
      <c r="E1128" s="78"/>
      <c r="F1128" s="78"/>
      <c r="G1128" s="85"/>
      <c r="H1128" s="78"/>
      <c r="I1128" s="78"/>
      <c r="J1128" s="78"/>
      <c r="K1128" s="78"/>
      <c r="L1128" s="78"/>
      <c r="M1128" s="78"/>
      <c r="N1128" s="78"/>
      <c r="O1128" s="78"/>
      <c r="P1128" s="78"/>
      <c r="Q1128" s="78"/>
      <c r="R1128" s="78"/>
      <c r="S1128" s="78"/>
      <c r="T1128" s="78"/>
      <c r="U1128" s="78"/>
      <c r="V1128" s="78"/>
      <c r="W1128" s="78"/>
      <c r="X1128" s="78"/>
      <c r="Y1128" s="78"/>
      <c r="Z1128" s="78"/>
    </row>
    <row r="1129">
      <c r="A1129" s="78"/>
      <c r="B1129" s="78"/>
      <c r="C1129" s="78"/>
      <c r="D1129" s="84"/>
      <c r="E1129" s="78"/>
      <c r="F1129" s="78"/>
      <c r="G1129" s="85"/>
      <c r="H1129" s="78"/>
      <c r="I1129" s="78"/>
      <c r="J1129" s="78"/>
      <c r="K1129" s="78"/>
      <c r="L1129" s="78"/>
      <c r="M1129" s="78"/>
      <c r="N1129" s="78"/>
      <c r="O1129" s="78"/>
      <c r="P1129" s="78"/>
      <c r="Q1129" s="78"/>
      <c r="R1129" s="78"/>
      <c r="S1129" s="78"/>
      <c r="T1129" s="78"/>
      <c r="U1129" s="78"/>
      <c r="V1129" s="78"/>
      <c r="W1129" s="78"/>
      <c r="X1129" s="78"/>
      <c r="Y1129" s="78"/>
      <c r="Z1129" s="78"/>
    </row>
    <row r="1130">
      <c r="A1130" s="78"/>
      <c r="B1130" s="78"/>
      <c r="C1130" s="78"/>
      <c r="D1130" s="84"/>
      <c r="E1130" s="78"/>
      <c r="F1130" s="78"/>
      <c r="G1130" s="85"/>
      <c r="H1130" s="78"/>
      <c r="I1130" s="78"/>
      <c r="J1130" s="78"/>
      <c r="K1130" s="78"/>
      <c r="L1130" s="78"/>
      <c r="M1130" s="78"/>
      <c r="N1130" s="78"/>
      <c r="O1130" s="78"/>
      <c r="P1130" s="78"/>
      <c r="Q1130" s="78"/>
      <c r="R1130" s="78"/>
      <c r="S1130" s="78"/>
      <c r="T1130" s="78"/>
      <c r="U1130" s="78"/>
      <c r="V1130" s="78"/>
      <c r="W1130" s="78"/>
      <c r="X1130" s="78"/>
      <c r="Y1130" s="78"/>
      <c r="Z1130" s="78"/>
    </row>
    <row r="1131">
      <c r="A1131" s="78"/>
      <c r="B1131" s="78"/>
      <c r="C1131" s="78"/>
      <c r="D1131" s="84"/>
      <c r="E1131" s="78"/>
      <c r="F1131" s="78"/>
      <c r="G1131" s="85"/>
      <c r="H1131" s="78"/>
      <c r="I1131" s="78"/>
      <c r="J1131" s="78"/>
      <c r="K1131" s="78"/>
      <c r="L1131" s="78"/>
      <c r="M1131" s="78"/>
      <c r="N1131" s="78"/>
      <c r="O1131" s="78"/>
      <c r="P1131" s="78"/>
      <c r="Q1131" s="78"/>
      <c r="R1131" s="78"/>
      <c r="S1131" s="78"/>
      <c r="T1131" s="78"/>
      <c r="U1131" s="78"/>
      <c r="V1131" s="78"/>
      <c r="W1131" s="78"/>
      <c r="X1131" s="78"/>
      <c r="Y1131" s="78"/>
      <c r="Z1131" s="78"/>
    </row>
    <row r="1132">
      <c r="A1132" s="78"/>
      <c r="B1132" s="78"/>
      <c r="C1132" s="78"/>
      <c r="D1132" s="84"/>
      <c r="E1132" s="78"/>
      <c r="F1132" s="78"/>
      <c r="G1132" s="85"/>
      <c r="H1132" s="78"/>
      <c r="I1132" s="78"/>
      <c r="J1132" s="78"/>
      <c r="K1132" s="78"/>
      <c r="L1132" s="78"/>
      <c r="M1132" s="78"/>
      <c r="N1132" s="78"/>
      <c r="O1132" s="78"/>
      <c r="P1132" s="78"/>
      <c r="Q1132" s="78"/>
      <c r="R1132" s="78"/>
      <c r="S1132" s="78"/>
      <c r="T1132" s="78"/>
      <c r="U1132" s="78"/>
      <c r="V1132" s="78"/>
      <c r="W1132" s="78"/>
      <c r="X1132" s="78"/>
      <c r="Y1132" s="78"/>
      <c r="Z1132" s="78"/>
    </row>
    <row r="1133">
      <c r="A1133" s="78"/>
      <c r="B1133" s="78"/>
      <c r="C1133" s="78"/>
      <c r="D1133" s="84"/>
      <c r="E1133" s="78"/>
      <c r="F1133" s="78"/>
      <c r="G1133" s="85"/>
      <c r="H1133" s="78"/>
      <c r="I1133" s="78"/>
      <c r="J1133" s="78"/>
      <c r="K1133" s="78"/>
      <c r="L1133" s="78"/>
      <c r="M1133" s="78"/>
      <c r="N1133" s="78"/>
      <c r="O1133" s="78"/>
      <c r="P1133" s="78"/>
      <c r="Q1133" s="78"/>
      <c r="R1133" s="78"/>
      <c r="S1133" s="78"/>
      <c r="T1133" s="78"/>
      <c r="U1133" s="78"/>
      <c r="V1133" s="78"/>
      <c r="W1133" s="78"/>
      <c r="X1133" s="78"/>
      <c r="Y1133" s="78"/>
      <c r="Z1133" s="78"/>
    </row>
    <row r="1134">
      <c r="A1134" s="78"/>
      <c r="B1134" s="78"/>
      <c r="C1134" s="78"/>
      <c r="D1134" s="84"/>
      <c r="E1134" s="78"/>
      <c r="F1134" s="78"/>
      <c r="G1134" s="85"/>
      <c r="H1134" s="78"/>
      <c r="I1134" s="78"/>
      <c r="J1134" s="78"/>
      <c r="K1134" s="78"/>
      <c r="L1134" s="78"/>
      <c r="M1134" s="78"/>
      <c r="N1134" s="78"/>
      <c r="O1134" s="78"/>
      <c r="P1134" s="78"/>
      <c r="Q1134" s="78"/>
      <c r="R1134" s="78"/>
      <c r="S1134" s="78"/>
      <c r="T1134" s="78"/>
      <c r="U1134" s="78"/>
      <c r="V1134" s="78"/>
      <c r="W1134" s="78"/>
      <c r="X1134" s="78"/>
      <c r="Y1134" s="78"/>
      <c r="Z1134" s="78"/>
    </row>
    <row r="1135">
      <c r="A1135" s="78"/>
      <c r="B1135" s="78"/>
      <c r="C1135" s="78"/>
      <c r="D1135" s="84"/>
      <c r="E1135" s="78"/>
      <c r="F1135" s="78"/>
      <c r="G1135" s="85"/>
      <c r="H1135" s="78"/>
      <c r="I1135" s="78"/>
      <c r="J1135" s="78"/>
      <c r="K1135" s="78"/>
      <c r="L1135" s="78"/>
      <c r="M1135" s="78"/>
      <c r="N1135" s="78"/>
      <c r="O1135" s="78"/>
      <c r="P1135" s="78"/>
      <c r="Q1135" s="78"/>
      <c r="R1135" s="78"/>
      <c r="S1135" s="78"/>
      <c r="T1135" s="78"/>
      <c r="U1135" s="78"/>
      <c r="V1135" s="78"/>
      <c r="W1135" s="78"/>
      <c r="X1135" s="78"/>
      <c r="Y1135" s="78"/>
      <c r="Z1135" s="78"/>
    </row>
    <row r="1136">
      <c r="A1136" s="78"/>
      <c r="B1136" s="78"/>
      <c r="C1136" s="78"/>
      <c r="D1136" s="84"/>
      <c r="E1136" s="78"/>
      <c r="F1136" s="78"/>
      <c r="G1136" s="85"/>
      <c r="H1136" s="78"/>
      <c r="I1136" s="78"/>
      <c r="J1136" s="78"/>
      <c r="K1136" s="78"/>
      <c r="L1136" s="78"/>
      <c r="M1136" s="78"/>
      <c r="N1136" s="78"/>
      <c r="O1136" s="78"/>
      <c r="P1136" s="78"/>
      <c r="Q1136" s="78"/>
      <c r="R1136" s="78"/>
      <c r="S1136" s="78"/>
      <c r="T1136" s="78"/>
      <c r="U1136" s="78"/>
      <c r="V1136" s="78"/>
      <c r="W1136" s="78"/>
      <c r="X1136" s="78"/>
      <c r="Y1136" s="78"/>
      <c r="Z1136" s="78"/>
    </row>
    <row r="1137">
      <c r="A1137" s="78"/>
      <c r="B1137" s="78"/>
      <c r="C1137" s="78"/>
      <c r="D1137" s="84"/>
      <c r="E1137" s="78"/>
      <c r="F1137" s="78"/>
      <c r="G1137" s="85"/>
      <c r="H1137" s="78"/>
      <c r="I1137" s="78"/>
      <c r="J1137" s="78"/>
      <c r="K1137" s="78"/>
      <c r="L1137" s="78"/>
      <c r="M1137" s="78"/>
      <c r="N1137" s="78"/>
      <c r="O1137" s="78"/>
      <c r="P1137" s="78"/>
      <c r="Q1137" s="78"/>
      <c r="R1137" s="78"/>
      <c r="S1137" s="78"/>
      <c r="T1137" s="78"/>
      <c r="U1137" s="78"/>
      <c r="V1137" s="78"/>
      <c r="W1137" s="78"/>
      <c r="X1137" s="78"/>
      <c r="Y1137" s="78"/>
      <c r="Z1137" s="78"/>
    </row>
    <row r="1138">
      <c r="A1138" s="78"/>
      <c r="B1138" s="78"/>
      <c r="C1138" s="78"/>
      <c r="D1138" s="84"/>
      <c r="E1138" s="78"/>
      <c r="F1138" s="78"/>
      <c r="G1138" s="85"/>
      <c r="H1138" s="78"/>
      <c r="I1138" s="78"/>
      <c r="J1138" s="78"/>
      <c r="K1138" s="78"/>
      <c r="L1138" s="78"/>
      <c r="M1138" s="78"/>
      <c r="N1138" s="78"/>
      <c r="O1138" s="78"/>
      <c r="P1138" s="78"/>
      <c r="Q1138" s="78"/>
      <c r="R1138" s="78"/>
      <c r="S1138" s="78"/>
      <c r="T1138" s="78"/>
      <c r="U1138" s="78"/>
      <c r="V1138" s="78"/>
      <c r="W1138" s="78"/>
      <c r="X1138" s="78"/>
      <c r="Y1138" s="78"/>
      <c r="Z1138" s="78"/>
    </row>
    <row r="1139">
      <c r="A1139" s="78"/>
      <c r="B1139" s="78"/>
      <c r="C1139" s="78"/>
      <c r="D1139" s="84"/>
      <c r="E1139" s="78"/>
      <c r="F1139" s="78"/>
      <c r="G1139" s="85"/>
      <c r="H1139" s="78"/>
      <c r="I1139" s="78"/>
      <c r="J1139" s="78"/>
      <c r="K1139" s="78"/>
      <c r="L1139" s="78"/>
      <c r="M1139" s="78"/>
      <c r="N1139" s="78"/>
      <c r="O1139" s="78"/>
      <c r="P1139" s="78"/>
      <c r="Q1139" s="78"/>
      <c r="R1139" s="78"/>
      <c r="S1139" s="78"/>
      <c r="T1139" s="78"/>
      <c r="U1139" s="78"/>
      <c r="V1139" s="78"/>
      <c r="W1139" s="78"/>
      <c r="X1139" s="78"/>
      <c r="Y1139" s="78"/>
      <c r="Z1139" s="78"/>
    </row>
    <row r="1140">
      <c r="A1140" s="78"/>
      <c r="B1140" s="78"/>
      <c r="C1140" s="78"/>
      <c r="D1140" s="84"/>
      <c r="E1140" s="78"/>
      <c r="F1140" s="78"/>
      <c r="G1140" s="85"/>
      <c r="H1140" s="78"/>
      <c r="I1140" s="78"/>
      <c r="J1140" s="78"/>
      <c r="K1140" s="78"/>
      <c r="L1140" s="78"/>
      <c r="M1140" s="78"/>
      <c r="N1140" s="78"/>
      <c r="O1140" s="78"/>
      <c r="P1140" s="78"/>
      <c r="Q1140" s="78"/>
      <c r="R1140" s="78"/>
      <c r="S1140" s="78"/>
      <c r="T1140" s="78"/>
      <c r="U1140" s="78"/>
      <c r="V1140" s="78"/>
      <c r="W1140" s="78"/>
      <c r="X1140" s="78"/>
      <c r="Y1140" s="78"/>
      <c r="Z1140" s="78"/>
    </row>
    <row r="1141">
      <c r="A1141" s="78"/>
      <c r="B1141" s="78"/>
      <c r="C1141" s="78"/>
      <c r="D1141" s="84"/>
      <c r="E1141" s="78"/>
      <c r="F1141" s="78"/>
      <c r="G1141" s="85"/>
      <c r="H1141" s="78"/>
      <c r="I1141" s="78"/>
      <c r="J1141" s="78"/>
      <c r="K1141" s="78"/>
      <c r="L1141" s="78"/>
      <c r="M1141" s="78"/>
      <c r="N1141" s="78"/>
      <c r="O1141" s="78"/>
      <c r="P1141" s="78"/>
      <c r="Q1141" s="78"/>
      <c r="R1141" s="78"/>
      <c r="S1141" s="78"/>
      <c r="T1141" s="78"/>
      <c r="U1141" s="78"/>
      <c r="V1141" s="78"/>
      <c r="W1141" s="78"/>
      <c r="X1141" s="78"/>
      <c r="Y1141" s="78"/>
      <c r="Z1141" s="78"/>
    </row>
    <row r="1142">
      <c r="A1142" s="78"/>
      <c r="B1142" s="78"/>
      <c r="C1142" s="78"/>
      <c r="D1142" s="84"/>
      <c r="E1142" s="78"/>
      <c r="F1142" s="78"/>
      <c r="G1142" s="85"/>
      <c r="H1142" s="78"/>
      <c r="I1142" s="78"/>
      <c r="J1142" s="78"/>
      <c r="K1142" s="78"/>
      <c r="L1142" s="78"/>
      <c r="M1142" s="78"/>
      <c r="N1142" s="78"/>
      <c r="O1142" s="78"/>
      <c r="P1142" s="78"/>
      <c r="Q1142" s="78"/>
      <c r="R1142" s="78"/>
      <c r="S1142" s="78"/>
      <c r="T1142" s="78"/>
      <c r="U1142" s="78"/>
      <c r="V1142" s="78"/>
      <c r="W1142" s="78"/>
      <c r="X1142" s="78"/>
      <c r="Y1142" s="78"/>
      <c r="Z1142" s="78"/>
    </row>
    <row r="1143">
      <c r="A1143" s="78"/>
      <c r="B1143" s="78"/>
      <c r="C1143" s="78"/>
      <c r="D1143" s="84"/>
      <c r="E1143" s="78"/>
      <c r="F1143" s="78"/>
      <c r="G1143" s="85"/>
      <c r="H1143" s="78"/>
      <c r="I1143" s="78"/>
      <c r="J1143" s="78"/>
      <c r="K1143" s="78"/>
      <c r="L1143" s="78"/>
      <c r="M1143" s="78"/>
      <c r="N1143" s="78"/>
      <c r="O1143" s="78"/>
      <c r="P1143" s="78"/>
      <c r="Q1143" s="78"/>
      <c r="R1143" s="78"/>
      <c r="S1143" s="78"/>
      <c r="T1143" s="78"/>
      <c r="U1143" s="78"/>
      <c r="V1143" s="78"/>
      <c r="W1143" s="78"/>
      <c r="X1143" s="78"/>
      <c r="Y1143" s="78"/>
      <c r="Z1143" s="78"/>
    </row>
  </sheetData>
  <mergeCells count="3">
    <mergeCell ref="A1:L3"/>
    <mergeCell ref="A99:I100"/>
    <mergeCell ref="A115:B1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75"/>
  <cols>
    <col customWidth="1" min="2" max="2" width="41.25"/>
    <col customWidth="1" min="4" max="4" width="23.63"/>
  </cols>
  <sheetData>
    <row r="1">
      <c r="A1" s="111" t="s">
        <v>146</v>
      </c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3" t="s">
        <v>147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3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14" t="s">
        <v>119</v>
      </c>
      <c r="B5" s="114" t="s">
        <v>148</v>
      </c>
      <c r="C5" s="114" t="s">
        <v>149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15">
        <v>1.0</v>
      </c>
      <c r="B6" s="115" t="s">
        <v>150</v>
      </c>
      <c r="C6" s="115">
        <v>1503.0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5">
        <v>2.0</v>
      </c>
      <c r="B7" s="115" t="s">
        <v>151</v>
      </c>
      <c r="C7" s="115">
        <v>63.0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5">
        <v>3.0</v>
      </c>
      <c r="B8" s="115" t="s">
        <v>152</v>
      </c>
      <c r="C8" s="115">
        <v>25.0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5">
        <v>4.0</v>
      </c>
      <c r="B9" s="115" t="s">
        <v>153</v>
      </c>
      <c r="C9" s="115">
        <v>0.0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3"/>
      <c r="B10" s="112"/>
      <c r="C10" s="112">
        <f>SUM(C6:C9)</f>
        <v>1591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3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3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13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13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13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11" t="s">
        <v>154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4" t="s">
        <v>119</v>
      </c>
      <c r="B19" s="114" t="s">
        <v>155</v>
      </c>
      <c r="C19" s="114" t="s">
        <v>149</v>
      </c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5">
        <v>1.0</v>
      </c>
      <c r="B20" s="116" t="s">
        <v>156</v>
      </c>
      <c r="C20" s="115">
        <v>493.0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5">
        <v>2.0</v>
      </c>
      <c r="B21" s="117" t="s">
        <v>157</v>
      </c>
      <c r="C21" s="115">
        <v>265.0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5">
        <v>3.0</v>
      </c>
      <c r="B22" s="118" t="s">
        <v>158</v>
      </c>
      <c r="C22" s="115">
        <v>81.0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5">
        <v>4.0</v>
      </c>
      <c r="B23" s="117" t="s">
        <v>159</v>
      </c>
      <c r="C23" s="115">
        <v>68.0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5">
        <v>5.0</v>
      </c>
      <c r="B24" s="118" t="s">
        <v>160</v>
      </c>
      <c r="C24" s="115">
        <v>55.0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5">
        <v>6.0</v>
      </c>
      <c r="B25" s="116" t="s">
        <v>161</v>
      </c>
      <c r="C25" s="115">
        <v>52.0</v>
      </c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5">
        <v>7.0</v>
      </c>
      <c r="B26" s="117" t="s">
        <v>162</v>
      </c>
      <c r="C26" s="115">
        <v>45.0</v>
      </c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5">
        <v>8.0</v>
      </c>
      <c r="B27" s="118" t="s">
        <v>163</v>
      </c>
      <c r="C27" s="115">
        <v>39.0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5">
        <v>9.0</v>
      </c>
      <c r="B28" s="118" t="s">
        <v>164</v>
      </c>
      <c r="C28" s="115">
        <v>34.0</v>
      </c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5">
        <v>10.0</v>
      </c>
      <c r="B29" s="118" t="s">
        <v>165</v>
      </c>
      <c r="C29" s="115">
        <v>29.0</v>
      </c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9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9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9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1" t="s">
        <v>166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4" t="s">
        <v>119</v>
      </c>
      <c r="B37" s="114" t="s">
        <v>167</v>
      </c>
      <c r="C37" s="114" t="s">
        <v>149</v>
      </c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5">
        <v>1.0</v>
      </c>
      <c r="B38" s="115" t="s">
        <v>168</v>
      </c>
      <c r="C38" s="115">
        <v>509.0</v>
      </c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5">
        <v>2.0</v>
      </c>
      <c r="B39" s="115" t="s">
        <v>169</v>
      </c>
      <c r="C39" s="115">
        <v>345.0</v>
      </c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5">
        <v>3.0</v>
      </c>
      <c r="B40" s="115" t="s">
        <v>170</v>
      </c>
      <c r="C40" s="115">
        <v>169.0</v>
      </c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5">
        <v>4.0</v>
      </c>
      <c r="B41" s="115" t="s">
        <v>171</v>
      </c>
      <c r="C41" s="115">
        <v>107.0</v>
      </c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15">
        <v>5.0</v>
      </c>
      <c r="B42" s="115" t="s">
        <v>172</v>
      </c>
      <c r="C42" s="115">
        <v>79.0</v>
      </c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15">
        <v>6.0</v>
      </c>
      <c r="B43" s="115" t="s">
        <v>173</v>
      </c>
      <c r="C43" s="115">
        <v>65.0</v>
      </c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15">
        <v>7.0</v>
      </c>
      <c r="B44" s="115" t="s">
        <v>174</v>
      </c>
      <c r="C44" s="115">
        <v>62.0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15">
        <v>8.0</v>
      </c>
      <c r="B45" s="115" t="s">
        <v>175</v>
      </c>
      <c r="C45" s="115">
        <v>46.0</v>
      </c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15">
        <v>9.0</v>
      </c>
      <c r="B46" s="115" t="s">
        <v>176</v>
      </c>
      <c r="C46" s="115">
        <v>37.0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15">
        <v>10.0</v>
      </c>
      <c r="B47" s="115" t="s">
        <v>177</v>
      </c>
      <c r="C47" s="115">
        <v>29.0</v>
      </c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13" t="s">
        <v>178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14" t="s">
        <v>119</v>
      </c>
      <c r="B52" s="114" t="s">
        <v>179</v>
      </c>
      <c r="C52" s="114" t="s">
        <v>149</v>
      </c>
      <c r="D52" s="113" t="s">
        <v>180</v>
      </c>
      <c r="E52" s="113" t="s">
        <v>181</v>
      </c>
      <c r="F52" s="119" t="s">
        <v>127</v>
      </c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15">
        <v>1.0</v>
      </c>
      <c r="B53" s="120">
        <v>1.67172128129E11</v>
      </c>
      <c r="C53" s="115">
        <v>321.0</v>
      </c>
      <c r="D53" s="119"/>
      <c r="E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15">
        <v>2.0</v>
      </c>
      <c r="B54" s="120" t="s">
        <v>182</v>
      </c>
      <c r="C54" s="115">
        <v>172.0</v>
      </c>
      <c r="D54" s="119"/>
      <c r="E54" s="112"/>
      <c r="F54" s="119" t="s">
        <v>183</v>
      </c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15">
        <v>3.0</v>
      </c>
      <c r="B55" s="121" t="s">
        <v>184</v>
      </c>
      <c r="C55" s="115">
        <v>73.0</v>
      </c>
      <c r="D55" s="119"/>
      <c r="E55" s="112"/>
      <c r="F55" s="119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15">
        <v>4.0</v>
      </c>
      <c r="B56" s="120" t="s">
        <v>185</v>
      </c>
      <c r="C56" s="115">
        <v>55.0</v>
      </c>
      <c r="D56" s="119"/>
      <c r="E56" s="112"/>
      <c r="F56" s="119" t="s">
        <v>186</v>
      </c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15">
        <v>5.0</v>
      </c>
      <c r="B57" s="120" t="s">
        <v>187</v>
      </c>
      <c r="C57" s="115">
        <v>21.0</v>
      </c>
      <c r="D57" s="119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15">
        <v>6.0</v>
      </c>
      <c r="B58" s="120" t="s">
        <v>188</v>
      </c>
      <c r="C58" s="115">
        <v>20.0</v>
      </c>
      <c r="D58" s="119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15">
        <v>7.0</v>
      </c>
      <c r="B59" s="120" t="s">
        <v>189</v>
      </c>
      <c r="C59" s="115">
        <v>20.0</v>
      </c>
      <c r="D59" s="119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15">
        <v>8.0</v>
      </c>
      <c r="B60" s="121" t="s">
        <v>190</v>
      </c>
      <c r="C60" s="115">
        <v>20.0</v>
      </c>
      <c r="D60" s="119"/>
      <c r="E60" s="112"/>
      <c r="F60" s="119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15">
        <v>9.0</v>
      </c>
      <c r="B61" s="120" t="s">
        <v>191</v>
      </c>
      <c r="C61" s="115">
        <v>19.0</v>
      </c>
      <c r="D61" s="119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15">
        <v>10.0</v>
      </c>
      <c r="B62" s="121" t="s">
        <v>192</v>
      </c>
      <c r="C62" s="115">
        <v>19.0</v>
      </c>
      <c r="D62" s="119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12"/>
      <c r="B63" s="12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3" t="s">
        <v>193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4" t="s">
        <v>119</v>
      </c>
      <c r="B69" s="114" t="s">
        <v>194</v>
      </c>
      <c r="C69" s="114" t="s">
        <v>149</v>
      </c>
      <c r="D69" s="114" t="s">
        <v>195</v>
      </c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5">
        <v>1.0</v>
      </c>
      <c r="B70" s="115" t="s">
        <v>196</v>
      </c>
      <c r="C70" s="115">
        <v>370.0</v>
      </c>
      <c r="D70" s="123" t="s">
        <v>150</v>
      </c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5">
        <v>2.0</v>
      </c>
      <c r="B71" s="115" t="s">
        <v>197</v>
      </c>
      <c r="C71" s="115">
        <v>363.0</v>
      </c>
      <c r="D71" s="123" t="s">
        <v>150</v>
      </c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29">
        <v>3.0</v>
      </c>
      <c r="B72" s="115" t="s">
        <v>198</v>
      </c>
      <c r="C72" s="115">
        <v>351.0</v>
      </c>
      <c r="D72" s="123" t="s">
        <v>150</v>
      </c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5">
        <v>4.0</v>
      </c>
      <c r="B73" s="115" t="s">
        <v>199</v>
      </c>
      <c r="C73" s="115">
        <v>104.0</v>
      </c>
      <c r="D73" s="124" t="s">
        <v>150</v>
      </c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5">
        <v>5.0</v>
      </c>
      <c r="B74" s="115" t="s">
        <v>200</v>
      </c>
      <c r="C74" s="115">
        <v>86.0</v>
      </c>
      <c r="D74" s="123" t="s">
        <v>150</v>
      </c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5">
        <v>6.0</v>
      </c>
      <c r="B75" s="115" t="s">
        <v>201</v>
      </c>
      <c r="C75" s="115">
        <v>67.0</v>
      </c>
      <c r="D75" s="124" t="s">
        <v>150</v>
      </c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5">
        <v>7.0</v>
      </c>
      <c r="B76" s="115" t="s">
        <v>202</v>
      </c>
      <c r="C76" s="115">
        <v>53.0</v>
      </c>
      <c r="D76" s="123" t="s">
        <v>150</v>
      </c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5">
        <v>8.0</v>
      </c>
      <c r="B77" s="115" t="s">
        <v>203</v>
      </c>
      <c r="C77" s="115">
        <v>43.0</v>
      </c>
      <c r="D77" s="123" t="s">
        <v>150</v>
      </c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5">
        <v>9.0</v>
      </c>
      <c r="B78" s="115" t="s">
        <v>204</v>
      </c>
      <c r="C78" s="115">
        <v>34.0</v>
      </c>
      <c r="D78" s="125" t="s">
        <v>205</v>
      </c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5">
        <v>10.0</v>
      </c>
      <c r="B79" s="115" t="s">
        <v>206</v>
      </c>
      <c r="C79" s="115">
        <v>29.0</v>
      </c>
      <c r="D79" s="125" t="s">
        <v>205</v>
      </c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9"/>
      <c r="B80" s="119"/>
      <c r="C80" s="119"/>
      <c r="D80" s="126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9"/>
      <c r="B81" s="119"/>
      <c r="C81" s="119"/>
      <c r="D81" s="126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9"/>
      <c r="B82" s="119"/>
      <c r="C82" s="119"/>
      <c r="D82" s="126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r="1012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  <row r="1013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</row>
    <row r="1014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</row>
    <row r="1015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</row>
    <row r="1016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</row>
    <row r="1017">
      <c r="A1017" s="112"/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</row>
    <row r="1018">
      <c r="A1018" s="112"/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</row>
    <row r="1019">
      <c r="A1019" s="112"/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</row>
    <row r="1020">
      <c r="A1020" s="112"/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</row>
    <row r="1021">
      <c r="A1021" s="112"/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</row>
    <row r="1022">
      <c r="A1022" s="112"/>
      <c r="B1022" s="112"/>
      <c r="C1022" s="112"/>
      <c r="D1022" s="112"/>
      <c r="E1022" s="112"/>
      <c r="F1022" s="112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</row>
    <row r="1023">
      <c r="A1023" s="112"/>
      <c r="B1023" s="112"/>
      <c r="C1023" s="112"/>
      <c r="D1023" s="112"/>
      <c r="E1023" s="112"/>
      <c r="F1023" s="112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</row>
    <row r="1024">
      <c r="A1024" s="112"/>
      <c r="B1024" s="112"/>
      <c r="C1024" s="112"/>
      <c r="D1024" s="112"/>
      <c r="E1024" s="112"/>
      <c r="F1024" s="112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</row>
    <row r="1025">
      <c r="A1025" s="112"/>
      <c r="B1025" s="112"/>
      <c r="C1025" s="112"/>
      <c r="D1025" s="112"/>
      <c r="E1025" s="112"/>
      <c r="F1025" s="112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</row>
    <row r="1026">
      <c r="A1026" s="112"/>
      <c r="B1026" s="112"/>
      <c r="C1026" s="112"/>
      <c r="D1026" s="112"/>
      <c r="E1026" s="112"/>
      <c r="F1026" s="112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</row>
    <row r="1027">
      <c r="A1027" s="112"/>
      <c r="B1027" s="112"/>
      <c r="C1027" s="112"/>
      <c r="D1027" s="112"/>
      <c r="E1027" s="112"/>
      <c r="F1027" s="112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</row>
  </sheetData>
  <mergeCells count="3">
    <mergeCell ref="A1:N2"/>
    <mergeCell ref="A16:N18"/>
    <mergeCell ref="A33:N34"/>
  </mergeCells>
  <hyperlinks>
    <hyperlink r:id="rId1" ref="B20"/>
    <hyperlink r:id="rId2" ref="B21"/>
    <hyperlink r:id="rId3" ref="B22"/>
    <hyperlink r:id="rId4" ref="B23"/>
    <hyperlink r:id="rId5" ref="B24"/>
    <hyperlink r:id="rId6" ref="B25"/>
    <hyperlink r:id="rId7" ref="B26"/>
    <hyperlink r:id="rId8" ref="B27"/>
    <hyperlink r:id="rId9" ref="B28"/>
    <hyperlink r:id="rId10" ref="B29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75"/>
  <cols>
    <col customWidth="1" min="2" max="2" width="41.25"/>
    <col customWidth="1" min="4" max="4" width="23.63"/>
  </cols>
  <sheetData>
    <row r="1">
      <c r="A1" s="113" t="s">
        <v>207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1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3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3" t="s">
        <v>208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13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14" t="s">
        <v>119</v>
      </c>
      <c r="B6" s="114" t="s">
        <v>209</v>
      </c>
      <c r="C6" s="114" t="s">
        <v>149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5">
        <v>1.0</v>
      </c>
      <c r="B7" s="127" t="s">
        <v>151</v>
      </c>
      <c r="C7" s="115">
        <v>121.0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5">
        <v>2.0</v>
      </c>
      <c r="B8" s="124" t="s">
        <v>210</v>
      </c>
      <c r="C8" s="115">
        <v>122.0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5">
        <v>3.0</v>
      </c>
      <c r="B9" s="128" t="s">
        <v>211</v>
      </c>
      <c r="C9" s="115">
        <v>7814.0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9"/>
      <c r="B10" s="119"/>
      <c r="C10" s="119">
        <f> C7+C8+C9</f>
        <v>8057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3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3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19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19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19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19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A17" s="119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A18" s="113" t="s">
        <v>154</v>
      </c>
      <c r="B18" s="112"/>
      <c r="C18" s="112"/>
      <c r="D18" s="112"/>
      <c r="E18" s="112"/>
      <c r="F18" s="112"/>
      <c r="G18" s="129"/>
      <c r="H18" s="129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4" t="s">
        <v>119</v>
      </c>
      <c r="B19" s="114" t="s">
        <v>167</v>
      </c>
      <c r="C19" s="114" t="s">
        <v>149</v>
      </c>
      <c r="D19" s="119" t="s">
        <v>212</v>
      </c>
      <c r="E19" s="119" t="s">
        <v>213</v>
      </c>
      <c r="F19" s="112"/>
      <c r="G19" s="112"/>
      <c r="H19" s="129"/>
      <c r="I19" s="129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5">
        <v>1.0</v>
      </c>
      <c r="B20" s="115" t="s">
        <v>214</v>
      </c>
      <c r="C20" s="115">
        <v>2518.0</v>
      </c>
      <c r="D20" s="119" t="s">
        <v>215</v>
      </c>
      <c r="E20" s="119" t="s">
        <v>216</v>
      </c>
      <c r="F20" s="112"/>
      <c r="G20" s="112"/>
      <c r="H20" s="129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5">
        <v>2.0</v>
      </c>
      <c r="B21" s="115" t="s">
        <v>217</v>
      </c>
      <c r="C21" s="115">
        <v>2500.0</v>
      </c>
      <c r="D21" s="119" t="s">
        <v>215</v>
      </c>
      <c r="E21" s="119" t="s">
        <v>218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5">
        <v>3.0</v>
      </c>
      <c r="B22" s="115" t="s">
        <v>219</v>
      </c>
      <c r="C22" s="115">
        <v>2487.0</v>
      </c>
      <c r="D22" s="119" t="s">
        <v>215</v>
      </c>
      <c r="E22" s="119" t="s">
        <v>220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5">
        <v>4.0</v>
      </c>
      <c r="B23" s="115" t="s">
        <v>170</v>
      </c>
      <c r="C23" s="115">
        <v>560.0</v>
      </c>
      <c r="D23" s="119" t="s">
        <v>221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5">
        <v>5.0</v>
      </c>
      <c r="B24" s="115" t="s">
        <v>168</v>
      </c>
      <c r="C24" s="115">
        <v>508.0</v>
      </c>
      <c r="D24" s="119" t="s">
        <v>221</v>
      </c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5">
        <v>6.0</v>
      </c>
      <c r="B25" s="115" t="s">
        <v>169</v>
      </c>
      <c r="C25" s="115">
        <v>344.0</v>
      </c>
      <c r="D25" s="119" t="s">
        <v>221</v>
      </c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5">
        <v>7.0</v>
      </c>
      <c r="B26" s="115" t="s">
        <v>171</v>
      </c>
      <c r="C26" s="115">
        <v>107.0</v>
      </c>
      <c r="D26" s="119" t="s">
        <v>221</v>
      </c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5">
        <v>8.0</v>
      </c>
      <c r="B27" s="115" t="s">
        <v>222</v>
      </c>
      <c r="C27" s="115">
        <v>79.0</v>
      </c>
      <c r="D27" s="119" t="s">
        <v>221</v>
      </c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5">
        <v>9.0</v>
      </c>
      <c r="B28" s="115" t="s">
        <v>223</v>
      </c>
      <c r="C28" s="115">
        <v>76.0</v>
      </c>
      <c r="D28" s="119" t="s">
        <v>221</v>
      </c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5">
        <v>10.0</v>
      </c>
      <c r="B29" s="115" t="s">
        <v>224</v>
      </c>
      <c r="C29" s="115">
        <v>68.0</v>
      </c>
      <c r="D29" s="119" t="s">
        <v>221</v>
      </c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A35" s="113" t="s">
        <v>178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A36" s="114" t="s">
        <v>119</v>
      </c>
      <c r="B36" s="114" t="s">
        <v>179</v>
      </c>
      <c r="C36" s="114" t="s">
        <v>149</v>
      </c>
      <c r="D36" s="113" t="s">
        <v>127</v>
      </c>
      <c r="E36" s="113" t="s">
        <v>181</v>
      </c>
      <c r="F36" s="119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5">
        <v>1.0</v>
      </c>
      <c r="B37" s="121" t="s">
        <v>225</v>
      </c>
      <c r="C37" s="115">
        <v>1186.0</v>
      </c>
      <c r="D37" s="119"/>
      <c r="E37" s="130"/>
      <c r="F37" s="119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5">
        <v>2.0</v>
      </c>
      <c r="B38" s="121" t="s">
        <v>226</v>
      </c>
      <c r="C38" s="115">
        <v>657.0</v>
      </c>
      <c r="D38" s="119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5">
        <v>3.0</v>
      </c>
      <c r="B39" s="121" t="s">
        <v>227</v>
      </c>
      <c r="C39" s="115">
        <v>601.0</v>
      </c>
      <c r="D39" s="119"/>
      <c r="E39" s="112"/>
      <c r="F39" s="112"/>
      <c r="G39" s="112"/>
      <c r="H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5">
        <v>4.0</v>
      </c>
      <c r="B40" s="120" t="s">
        <v>228</v>
      </c>
      <c r="C40" s="115">
        <v>601.0</v>
      </c>
      <c r="D40" s="119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5">
        <v>5.0</v>
      </c>
      <c r="B41" s="120" t="s">
        <v>229</v>
      </c>
      <c r="C41" s="115">
        <v>599.0</v>
      </c>
      <c r="D41" s="119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15">
        <v>6.0</v>
      </c>
      <c r="B42" s="120" t="s">
        <v>230</v>
      </c>
      <c r="C42" s="115">
        <v>597.0</v>
      </c>
      <c r="D42" s="119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15">
        <v>7.0</v>
      </c>
      <c r="B43" s="120" t="s">
        <v>231</v>
      </c>
      <c r="C43" s="115">
        <v>537.0</v>
      </c>
      <c r="D43" s="119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15">
        <v>8.0</v>
      </c>
      <c r="B44" s="121" t="s">
        <v>232</v>
      </c>
      <c r="C44" s="115">
        <v>348.0</v>
      </c>
      <c r="D44" s="119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15">
        <v>9.0</v>
      </c>
      <c r="B45" s="121" t="s">
        <v>233</v>
      </c>
      <c r="C45" s="115">
        <v>70.0</v>
      </c>
      <c r="D45" s="119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15">
        <v>10.0</v>
      </c>
      <c r="B46" s="120" t="s">
        <v>234</v>
      </c>
      <c r="C46" s="115">
        <v>70.0</v>
      </c>
      <c r="D46" s="119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13" t="s">
        <v>82</v>
      </c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31"/>
      <c r="B53" s="131"/>
      <c r="C53" s="131"/>
      <c r="D53" s="131"/>
      <c r="E53" s="13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30"/>
      <c r="B54" s="130"/>
      <c r="C54" s="130"/>
      <c r="D54" s="130"/>
      <c r="E54" s="13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30"/>
      <c r="B55" s="130"/>
      <c r="C55" s="130"/>
      <c r="D55" s="126"/>
      <c r="E55" s="13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33"/>
      <c r="B56" s="130"/>
      <c r="C56" s="130"/>
      <c r="D56" s="126"/>
      <c r="E56" s="13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30"/>
      <c r="B57" s="130"/>
      <c r="C57" s="130"/>
      <c r="D57" s="130"/>
      <c r="E57" s="13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30"/>
      <c r="B58" s="130"/>
      <c r="C58" s="130"/>
      <c r="D58" s="126"/>
      <c r="E58" s="13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30"/>
      <c r="B59" s="130"/>
      <c r="C59" s="130"/>
      <c r="D59" s="130"/>
      <c r="E59" s="13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30"/>
      <c r="B60" s="130"/>
      <c r="C60" s="130"/>
      <c r="D60" s="126"/>
      <c r="E60" s="13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30"/>
      <c r="B61" s="130"/>
      <c r="C61" s="130"/>
      <c r="D61" s="126"/>
      <c r="E61" s="13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30"/>
      <c r="B62" s="130"/>
      <c r="C62" s="130"/>
      <c r="D62" s="126"/>
      <c r="E62" s="13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30"/>
      <c r="B63" s="130"/>
      <c r="C63" s="130"/>
      <c r="D63" s="126"/>
      <c r="E63" s="13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30"/>
      <c r="B64" s="130"/>
      <c r="C64" s="130"/>
      <c r="D64" s="126"/>
      <c r="E64" s="13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9"/>
      <c r="B65" s="119"/>
      <c r="C65" s="119"/>
      <c r="D65" s="126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9"/>
      <c r="B66" s="119"/>
      <c r="C66" s="119"/>
      <c r="D66" s="126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r="100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r="100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r="100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r="1004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r="100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r="1006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r="1007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r="1008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r="1009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r="1010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r="1011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60.13"/>
    <col customWidth="1" min="4" max="4" width="55.13"/>
    <col customWidth="1" min="5" max="5" width="49.0"/>
    <col customWidth="1" min="6" max="6" width="68.25"/>
  </cols>
  <sheetData>
    <row r="1">
      <c r="A1" s="134" t="s">
        <v>235</v>
      </c>
      <c r="G1" s="135"/>
      <c r="H1" s="135"/>
      <c r="I1" s="135"/>
      <c r="J1" s="135"/>
      <c r="K1" s="135"/>
      <c r="L1" s="135"/>
      <c r="M1" s="135"/>
      <c r="U1" s="135"/>
      <c r="V1" s="135"/>
      <c r="W1" s="135"/>
      <c r="X1" s="135"/>
      <c r="Y1" s="135"/>
      <c r="Z1" s="135"/>
    </row>
    <row r="2">
      <c r="A2" s="136"/>
      <c r="B2" s="137" t="s">
        <v>236</v>
      </c>
      <c r="C2" s="138"/>
      <c r="D2" s="138"/>
      <c r="E2" s="138"/>
      <c r="F2" s="138"/>
      <c r="G2" s="135"/>
      <c r="H2" s="135"/>
      <c r="I2" s="135"/>
      <c r="J2" s="135"/>
      <c r="K2" s="135"/>
      <c r="L2" s="135"/>
      <c r="M2" s="135"/>
      <c r="U2" s="135"/>
      <c r="V2" s="135"/>
      <c r="W2" s="135"/>
      <c r="X2" s="135"/>
      <c r="Y2" s="135"/>
      <c r="Z2" s="135"/>
    </row>
    <row r="3">
      <c r="A3" s="134" t="s">
        <v>237</v>
      </c>
      <c r="G3" s="135"/>
      <c r="H3" s="135"/>
      <c r="I3" s="135"/>
      <c r="J3" s="135"/>
      <c r="K3" s="135"/>
      <c r="L3" s="135"/>
      <c r="M3" s="135"/>
      <c r="U3" s="135"/>
      <c r="V3" s="135"/>
      <c r="W3" s="135"/>
      <c r="X3" s="135"/>
      <c r="Y3" s="135"/>
      <c r="Z3" s="135"/>
    </row>
    <row r="4">
      <c r="A4" s="136"/>
      <c r="B4" s="136"/>
      <c r="C4" s="136"/>
      <c r="D4" s="136"/>
      <c r="E4" s="136"/>
      <c r="F4" s="136"/>
    </row>
    <row r="5">
      <c r="A5" s="139" t="s">
        <v>238</v>
      </c>
      <c r="B5" s="140" t="s">
        <v>23</v>
      </c>
      <c r="C5" s="140" t="s">
        <v>239</v>
      </c>
      <c r="D5" s="141" t="s">
        <v>240</v>
      </c>
      <c r="E5" s="142" t="s">
        <v>241</v>
      </c>
      <c r="F5" s="143"/>
    </row>
    <row r="6" ht="18.75" customHeight="1">
      <c r="A6" s="144"/>
      <c r="B6" s="145">
        <v>51.0</v>
      </c>
      <c r="C6" s="146" t="s">
        <v>242</v>
      </c>
      <c r="D6" s="147" t="s">
        <v>243</v>
      </c>
      <c r="E6" s="148"/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>
      <c r="A7" s="144"/>
      <c r="B7" s="151"/>
      <c r="C7" s="152" t="s">
        <v>244</v>
      </c>
      <c r="D7" s="153" t="s">
        <v>245</v>
      </c>
      <c r="E7" s="154" t="s">
        <v>246</v>
      </c>
      <c r="F7" s="155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>
      <c r="A8" s="144"/>
      <c r="B8" s="156"/>
      <c r="C8" s="152" t="s">
        <v>247</v>
      </c>
      <c r="D8" s="157" t="s">
        <v>248</v>
      </c>
      <c r="E8" s="158"/>
      <c r="F8" s="149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ht="63.0" customHeight="1">
      <c r="A9" s="144"/>
      <c r="B9" s="151"/>
      <c r="C9" s="152" t="s">
        <v>249</v>
      </c>
      <c r="D9" s="159" t="s">
        <v>250</v>
      </c>
      <c r="E9" s="154" t="s">
        <v>251</v>
      </c>
      <c r="F9" s="155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>
      <c r="A10" s="144"/>
      <c r="B10" s="151"/>
      <c r="C10" s="152" t="s">
        <v>252</v>
      </c>
      <c r="D10" s="159" t="s">
        <v>250</v>
      </c>
      <c r="E10" s="160" t="s">
        <v>253</v>
      </c>
      <c r="F10" s="156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>
      <c r="A11" s="144"/>
      <c r="B11" s="151"/>
      <c r="C11" s="152" t="s">
        <v>254</v>
      </c>
      <c r="D11" s="161" t="s">
        <v>255</v>
      </c>
      <c r="E11" s="162" t="s">
        <v>256</v>
      </c>
      <c r="F11" s="155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>
      <c r="A12" s="144"/>
      <c r="B12" s="151"/>
      <c r="C12" s="163"/>
      <c r="D12" s="164"/>
      <c r="E12" s="165"/>
      <c r="F12" s="156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>
      <c r="A13" s="144"/>
      <c r="B13" s="151"/>
      <c r="C13" s="166"/>
      <c r="D13" s="167"/>
      <c r="E13" s="168"/>
      <c r="F13" s="155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144"/>
      <c r="B14" s="151"/>
      <c r="C14" s="166"/>
      <c r="D14" s="167"/>
      <c r="E14" s="168"/>
      <c r="F14" s="156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>
      <c r="A15" s="144"/>
      <c r="B15" s="151"/>
      <c r="C15" s="166"/>
      <c r="D15" s="167"/>
      <c r="E15" s="168"/>
      <c r="F15" s="156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144"/>
      <c r="B16" s="151"/>
      <c r="C16" s="166"/>
      <c r="D16" s="167"/>
      <c r="E16" s="155"/>
      <c r="F16" s="156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144"/>
      <c r="B17" s="151"/>
      <c r="C17" s="155"/>
      <c r="D17" s="169"/>
      <c r="E17" s="168"/>
      <c r="F17" s="156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>
      <c r="A18" s="170"/>
      <c r="B18" s="171"/>
      <c r="C18" s="172"/>
      <c r="D18" s="173"/>
      <c r="E18" s="174"/>
      <c r="F18" s="175"/>
    </row>
    <row r="19">
      <c r="A19" s="170"/>
      <c r="B19" s="171"/>
      <c r="C19" s="172"/>
      <c r="D19" s="173"/>
      <c r="E19" s="174"/>
      <c r="F19" s="175"/>
    </row>
    <row r="20">
      <c r="A20" s="170"/>
      <c r="B20" s="171"/>
      <c r="C20" s="172"/>
      <c r="D20" s="173"/>
      <c r="E20" s="174"/>
      <c r="F20" s="175"/>
    </row>
    <row r="21">
      <c r="A21" s="170"/>
      <c r="B21" s="171"/>
      <c r="C21" s="172"/>
      <c r="D21" s="173"/>
      <c r="E21" s="175"/>
      <c r="F21" s="175"/>
    </row>
    <row r="22">
      <c r="A22" s="170"/>
      <c r="B22" s="171"/>
      <c r="C22" s="172"/>
      <c r="D22" s="173"/>
      <c r="E22" s="175"/>
      <c r="F22" s="175"/>
    </row>
    <row r="23">
      <c r="A23" s="170"/>
      <c r="B23" s="171"/>
      <c r="C23" s="172"/>
      <c r="D23" s="173"/>
      <c r="E23" s="175"/>
      <c r="F23" s="175"/>
    </row>
    <row r="24">
      <c r="A24" s="170"/>
      <c r="B24" s="171"/>
      <c r="C24" s="172"/>
      <c r="D24" s="173"/>
      <c r="E24" s="175"/>
      <c r="F24" s="175"/>
    </row>
    <row r="25">
      <c r="A25" s="170"/>
      <c r="B25" s="171"/>
      <c r="C25" s="172"/>
      <c r="D25" s="173"/>
      <c r="E25" s="175"/>
      <c r="F25" s="175"/>
    </row>
    <row r="26">
      <c r="A26" s="176"/>
      <c r="B26" s="177"/>
      <c r="C26" s="178"/>
      <c r="D26" s="179"/>
      <c r="E26" s="180"/>
      <c r="F26" s="180"/>
    </row>
    <row r="27">
      <c r="A27" s="176"/>
      <c r="B27" s="177"/>
      <c r="C27" s="178"/>
      <c r="D27" s="179"/>
      <c r="E27" s="180"/>
      <c r="F27" s="180"/>
    </row>
    <row r="28">
      <c r="A28" s="176"/>
      <c r="B28" s="177"/>
      <c r="C28" s="178"/>
      <c r="D28" s="179"/>
      <c r="E28" s="180"/>
      <c r="F28" s="180"/>
    </row>
    <row r="29">
      <c r="A29" s="176"/>
      <c r="B29" s="177"/>
      <c r="C29" s="178"/>
      <c r="D29" s="179"/>
      <c r="E29" s="180"/>
      <c r="F29" s="180"/>
    </row>
    <row r="30">
      <c r="A30" s="176"/>
      <c r="B30" s="177"/>
      <c r="C30" s="178"/>
      <c r="D30" s="179"/>
      <c r="E30" s="180"/>
      <c r="F30" s="180"/>
    </row>
    <row r="31">
      <c r="A31" s="176"/>
      <c r="B31" s="177"/>
      <c r="C31" s="178"/>
      <c r="D31" s="179"/>
      <c r="E31" s="180"/>
      <c r="F31" s="180"/>
    </row>
    <row r="32">
      <c r="A32" s="176"/>
      <c r="B32" s="177"/>
      <c r="C32" s="178"/>
      <c r="D32" s="181"/>
      <c r="E32" s="180"/>
      <c r="F32" s="180"/>
    </row>
    <row r="33">
      <c r="A33" s="176"/>
      <c r="B33" s="177"/>
      <c r="C33" s="178"/>
      <c r="D33" s="181"/>
      <c r="E33" s="180"/>
      <c r="F33" s="180"/>
    </row>
    <row r="34">
      <c r="A34" s="176"/>
      <c r="B34" s="177"/>
      <c r="C34" s="178"/>
      <c r="D34" s="181"/>
      <c r="E34" s="180"/>
      <c r="F34" s="180"/>
    </row>
    <row r="35">
      <c r="A35" s="176"/>
      <c r="B35" s="177"/>
      <c r="C35" s="178"/>
      <c r="D35" s="181"/>
      <c r="E35" s="180"/>
      <c r="F35" s="180"/>
    </row>
    <row r="36">
      <c r="A36" s="176"/>
      <c r="B36" s="177"/>
      <c r="C36" s="178"/>
      <c r="D36" s="181"/>
      <c r="E36" s="180"/>
      <c r="F36" s="180"/>
    </row>
    <row r="37">
      <c r="A37" s="182"/>
      <c r="B37" s="183"/>
      <c r="C37" s="184"/>
      <c r="D37" s="185"/>
      <c r="E37" s="186"/>
      <c r="F37" s="186"/>
    </row>
    <row r="38">
      <c r="A38" s="182"/>
      <c r="B38" s="187"/>
      <c r="C38" s="182"/>
      <c r="D38" s="185"/>
      <c r="E38" s="186"/>
      <c r="F38" s="186"/>
    </row>
    <row r="39">
      <c r="A39" s="182"/>
      <c r="B39" s="187"/>
      <c r="C39" s="182"/>
      <c r="D39" s="185"/>
      <c r="E39" s="186"/>
      <c r="F39" s="186"/>
    </row>
    <row r="40">
      <c r="A40" s="182"/>
      <c r="B40" s="187"/>
      <c r="C40" s="182"/>
      <c r="D40" s="185"/>
      <c r="E40" s="186"/>
      <c r="F40" s="186"/>
    </row>
    <row r="41">
      <c r="A41" s="182"/>
      <c r="B41" s="187"/>
      <c r="C41" s="182"/>
      <c r="D41" s="185"/>
      <c r="E41" s="186"/>
      <c r="F41" s="186"/>
    </row>
    <row r="42">
      <c r="A42" s="182"/>
      <c r="B42" s="187"/>
      <c r="C42" s="182"/>
      <c r="D42" s="185"/>
      <c r="E42" s="186"/>
      <c r="F42" s="186"/>
    </row>
    <row r="43">
      <c r="A43" s="182"/>
      <c r="B43" s="187"/>
      <c r="C43" s="182"/>
      <c r="D43" s="185"/>
      <c r="E43" s="186"/>
      <c r="F43" s="186"/>
    </row>
    <row r="44">
      <c r="A44" s="182"/>
      <c r="B44" s="187"/>
      <c r="C44" s="182"/>
      <c r="D44" s="185"/>
      <c r="E44" s="186"/>
      <c r="F44" s="186"/>
    </row>
    <row r="45">
      <c r="A45" s="182"/>
      <c r="B45" s="187"/>
      <c r="C45" s="182"/>
      <c r="D45" s="185"/>
      <c r="E45" s="186"/>
      <c r="F45" s="186"/>
    </row>
    <row r="46">
      <c r="A46" s="182"/>
      <c r="B46" s="187"/>
      <c r="C46" s="182"/>
      <c r="D46" s="185"/>
      <c r="E46" s="186"/>
      <c r="F46" s="186"/>
    </row>
    <row r="47">
      <c r="A47" s="182"/>
      <c r="B47" s="187"/>
      <c r="C47" s="182"/>
      <c r="D47" s="185"/>
      <c r="E47" s="186"/>
      <c r="F47" s="186"/>
    </row>
    <row r="48">
      <c r="A48" s="182"/>
      <c r="B48" s="187"/>
      <c r="C48" s="182"/>
      <c r="D48" s="185"/>
      <c r="E48" s="186"/>
      <c r="F48" s="186"/>
    </row>
    <row r="49">
      <c r="A49" s="182"/>
      <c r="B49" s="187"/>
      <c r="C49" s="182"/>
      <c r="D49" s="185"/>
      <c r="E49" s="186"/>
      <c r="F49" s="186"/>
    </row>
    <row r="50">
      <c r="A50" s="182"/>
      <c r="B50" s="187"/>
      <c r="C50" s="182"/>
      <c r="D50" s="185"/>
      <c r="E50" s="186"/>
      <c r="F50" s="186"/>
    </row>
    <row r="51">
      <c r="A51" s="182"/>
      <c r="B51" s="187"/>
      <c r="C51" s="182"/>
      <c r="D51" s="185"/>
      <c r="E51" s="186"/>
      <c r="F51" s="186"/>
    </row>
    <row r="52">
      <c r="A52" s="182"/>
      <c r="B52" s="187"/>
      <c r="C52" s="182"/>
      <c r="D52" s="185"/>
      <c r="E52" s="186"/>
      <c r="F52" s="186"/>
    </row>
    <row r="53">
      <c r="A53" s="182"/>
      <c r="B53" s="187"/>
      <c r="C53" s="182"/>
      <c r="D53" s="185"/>
      <c r="E53" s="186"/>
      <c r="F53" s="186"/>
    </row>
    <row r="54">
      <c r="A54" s="182"/>
      <c r="B54" s="188"/>
      <c r="C54" s="182"/>
      <c r="D54" s="188"/>
      <c r="E54" s="188"/>
      <c r="F54" s="188"/>
    </row>
  </sheetData>
  <mergeCells count="2">
    <mergeCell ref="A1:F1"/>
    <mergeCell ref="A3:F3"/>
  </mergeCells>
  <drawing r:id="rId1"/>
</worksheet>
</file>